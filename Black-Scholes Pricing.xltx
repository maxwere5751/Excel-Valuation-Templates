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xwe\OneDrive\Documents\Templates\"/>
    </mc:Choice>
  </mc:AlternateContent>
  <xr:revisionPtr revIDLastSave="0" documentId="13_ncr:1_{57702249-9052-41A9-BB3D-15BD665A4623}" xr6:coauthVersionLast="47" xr6:coauthVersionMax="47" xr10:uidLastSave="{00000000-0000-0000-0000-000000000000}"/>
  <bookViews>
    <workbookView xWindow="-28920" yWindow="-270" windowWidth="29040" windowHeight="15720" xr2:uid="{44757EF2-F2E3-4C89-9DC1-B28BE1F80F8A}"/>
  </bookViews>
  <sheets>
    <sheet name="Calculator" sheetId="1" r:id="rId1"/>
    <sheet name="notes" sheetId="2" r:id="rId2"/>
  </sheets>
  <definedNames>
    <definedName name="BS_A">Calculator!$D$20</definedName>
    <definedName name="BS_B">Calculator!$D$21</definedName>
    <definedName name="BS_C">Calculator!$D$22</definedName>
    <definedName name="BS_D1">Calculator!$D$24</definedName>
    <definedName name="BS_D2">Calculator!$D$25</definedName>
    <definedName name="BS_E">Calculator!$D$32</definedName>
    <definedName name="BS_F">Calculator!$D$33</definedName>
    <definedName name="BS_ND1">Calculator!$D$27</definedName>
    <definedName name="BS_ND2">Calculator!$D$28</definedName>
    <definedName name="expdate">Calculator!$D$12</definedName>
    <definedName name="Price">Calculator!$D$4</definedName>
    <definedName name="Price_OV">Calculator!$D$5</definedName>
    <definedName name="pricingdate">Calculator!$D$11</definedName>
    <definedName name="rate">Calculator!$D$8</definedName>
    <definedName name="stock">Calculator!$D$3</definedName>
    <definedName name="strike">Calculator!$D$6</definedName>
    <definedName name="timetoexp">Calculator!$D$13</definedName>
    <definedName name="trading_days">Calculator!$D$15</definedName>
    <definedName name="volatility">Calculator!$D$7</definedName>
    <definedName name="yeartoexp">Calculator!$D$14</definedName>
    <definedName name="yield">Calculator!$D$9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1" i="1" l="1"/>
  <c r="I11" i="1"/>
  <c r="G11" i="1"/>
  <c r="D37" i="1"/>
  <c r="D11" i="1"/>
  <c r="D4" i="1" a="1"/>
  <c r="D4" i="1" s="1"/>
  <c r="D20" i="1" s="1"/>
  <c r="I12" i="1" l="1"/>
  <c r="I13" i="1"/>
  <c r="I14" i="1" s="1"/>
  <c r="D38" i="1"/>
  <c r="D14" i="1"/>
  <c r="D22" i="1" l="1"/>
  <c r="D33" i="1"/>
  <c r="D32" i="1"/>
  <c r="D21" i="1"/>
  <c r="D24" i="1" l="1"/>
  <c r="D27" i="1" s="1"/>
  <c r="I4" i="1" s="1"/>
  <c r="D29" i="1" l="1"/>
  <c r="D35" i="1"/>
  <c r="D25" i="1"/>
  <c r="D36" i="1" s="1"/>
  <c r="I3" i="1"/>
  <c r="J3" i="1" l="1"/>
  <c r="J4" i="1"/>
  <c r="D30" i="1"/>
  <c r="M4" i="1" s="1"/>
  <c r="D28" i="1"/>
  <c r="L4" i="1"/>
  <c r="L3" i="1"/>
  <c r="K3" i="1" l="1"/>
  <c r="M3" i="1"/>
  <c r="G3" i="1"/>
  <c r="K4" i="1"/>
  <c r="G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<sst xmlns="http://schemas.openxmlformats.org/spreadsheetml/2006/main" count="74" uniqueCount="65">
  <si>
    <t>Strike</t>
  </si>
  <si>
    <t>Ticker</t>
  </si>
  <si>
    <t>Price</t>
  </si>
  <si>
    <t>Time to expiration</t>
  </si>
  <si>
    <t>Pricing date</t>
  </si>
  <si>
    <t>Expiration date</t>
  </si>
  <si>
    <t>% year to expiration</t>
  </si>
  <si>
    <t>Volatility</t>
  </si>
  <si>
    <t>Risk free rate</t>
  </si>
  <si>
    <t>Div yield</t>
  </si>
  <si>
    <t>Days to expiration</t>
  </si>
  <si>
    <t>Price OV</t>
  </si>
  <si>
    <t>Parameters</t>
  </si>
  <si>
    <t>Call</t>
  </si>
  <si>
    <t>Put</t>
  </si>
  <si>
    <t>Delta</t>
  </si>
  <si>
    <t>Gamma</t>
  </si>
  <si>
    <t>Theta</t>
  </si>
  <si>
    <t>Vega</t>
  </si>
  <si>
    <t>Rho</t>
  </si>
  <si>
    <t>A: ln(price/strike)</t>
  </si>
  <si>
    <t>BS Workflow</t>
  </si>
  <si>
    <t>D1</t>
  </si>
  <si>
    <t>D2</t>
  </si>
  <si>
    <t>N(D1)</t>
  </si>
  <si>
    <t>N(D2)</t>
  </si>
  <si>
    <t>N(-D1)</t>
  </si>
  <si>
    <t>N(-D2)</t>
  </si>
  <si>
    <t>E: e-qt</t>
  </si>
  <si>
    <t>F: e-rt</t>
  </si>
  <si>
    <t>N'(D1)</t>
  </si>
  <si>
    <t>N'(D2)</t>
  </si>
  <si>
    <t>1/T</t>
  </si>
  <si>
    <t>Trading Days In Year</t>
  </si>
  <si>
    <t>(use 252 for market days)</t>
  </si>
  <si>
    <t>S:</t>
  </si>
  <si>
    <t>Leverage Ratio</t>
  </si>
  <si>
    <t>Sell Call</t>
  </si>
  <si>
    <t>Buy Call</t>
  </si>
  <si>
    <t>&lt;&lt;&lt;=== PASTE HERE ===&gt;&gt;&gt;</t>
  </si>
  <si>
    <t>B: t(r-q+s2/2)</t>
  </si>
  <si>
    <t>C: ssqrt(t)</t>
  </si>
  <si>
    <t>Net Debit</t>
  </si>
  <si>
    <t>Debit Spread</t>
  </si>
  <si>
    <t>Theta Cost Carry</t>
  </si>
  <si>
    <t>Inputs</t>
  </si>
  <si>
    <t>Intrinsic Value</t>
  </si>
  <si>
    <t>Strike Price</t>
  </si>
  <si>
    <t>Exp Date</t>
  </si>
  <si>
    <t>Time</t>
  </si>
  <si>
    <t>Real Options Inputs</t>
  </si>
  <si>
    <t>Real Option Valuation</t>
  </si>
  <si>
    <t>Natural Resource Definitions</t>
  </si>
  <si>
    <t>Present value of expected cash flows from investment</t>
  </si>
  <si>
    <t>Estimated value of natural resources reserve. Usually estimated as the quantity of resources times the current price</t>
  </si>
  <si>
    <t>Cost of developing the reserve. Generally assumed to be known and fixed</t>
  </si>
  <si>
    <t>Present value of required investment costs in real asset</t>
  </si>
  <si>
    <t>Since the quantity of the resource is assumed to be known, the volatility in price of natural resources</t>
  </si>
  <si>
    <t>Volatility of underlying cash flows</t>
  </si>
  <si>
    <t>Period for which investment opportunity is available</t>
  </si>
  <si>
    <t>Cash flows lost to competitors</t>
  </si>
  <si>
    <t>Annual cash flow as a percentage of the value of the underlying asset. Once the reserve becomes viable, this is what the firm is losing by not developing the reserve (also cost of delay)</t>
  </si>
  <si>
    <t>Can be defined in one of two ways: - If rights to the reserve are for a finite period, use that period. - The number of years of production it would take to exhaust the estimated reserve. (Gold mine with a mine inventory of 3m ounces and capacity output rate of 150000 ounces a year will be exhausted in 20 years)</t>
  </si>
  <si>
    <t>Risk-free interest rate</t>
  </si>
  <si>
    <t>Black-Scholes Model Calculator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</si>
</sst>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[$$-409]* #,##0.00_);_([$$-409]* \(#,##0.00\);_([$$-409]* &quot;-&quot;??_);_(@_)"/>
    <numFmt numFmtId="165" formatCode="0.00000"/>
    <numFmt numFmtId="166" formatCode="0.0000"/>
    <numFmt numFmtId="167" formatCode="0.0%"/>
    <numFmt numFmtId="168" formatCode="0.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1" fillId="4" borderId="0" applyNumberFormat="0" applyBorder="0" applyAlignment="0" applyProtection="0"/>
    <xf numFmtId="0" fontId="7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35">
    <xf numFmtId="0" fontId="0" fillId="0" borderId="0" xfId="0"/>
    <xf numFmtId="0" fontId="2" fillId="2" borderId="1" xfId="2"/>
    <xf numFmtId="0" fontId="4" fillId="0" borderId="0" xfId="0" applyFont="1"/>
    <xf numFmtId="0" fontId="3" fillId="3" borderId="2" xfId="3"/>
    <xf numFmtId="165" fontId="3" fillId="3" borderId="2" xfId="3" applyNumberFormat="1"/>
    <xf numFmtId="0" fontId="5" fillId="0" borderId="0" xfId="0" applyFont="1"/>
    <xf numFmtId="0" fontId="4" fillId="0" borderId="0" xfId="0" applyFont="1" applyAlignment="1">
      <alignment horizontal="center"/>
    </xf>
    <xf numFmtId="0" fontId="4" fillId="4" borderId="0" xfId="4" applyFont="1" applyAlignment="1">
      <alignment horizontal="center"/>
    </xf>
    <xf numFmtId="10" fontId="3" fillId="3" borderId="2" xfId="1" applyNumberFormat="1" applyFont="1" applyFill="1" applyBorder="1"/>
    <xf numFmtId="165" fontId="0" fillId="0" borderId="0" xfId="0" applyNumberFormat="1"/>
    <xf numFmtId="166" fontId="0" fillId="0" borderId="0" xfId="0" applyNumberFormat="1"/>
    <xf numFmtId="168" fontId="0" fillId="0" borderId="0" xfId="0" applyNumberFormat="1"/>
    <xf numFmtId="2" fontId="0" fillId="0" borderId="0" xfId="0" applyNumberFormat="1"/>
    <xf numFmtId="164" fontId="3" fillId="3" borderId="2" xfId="3" applyNumberFormat="1"/>
    <xf numFmtId="2" fontId="2" fillId="2" borderId="1" xfId="2" applyNumberFormat="1"/>
    <xf numFmtId="165" fontId="2" fillId="2" borderId="1" xfId="2" applyNumberFormat="1"/>
    <xf numFmtId="0" fontId="4" fillId="0" borderId="0" xfId="0" applyFont="1" applyAlignment="1">
      <alignment horizontal="right"/>
    </xf>
    <xf numFmtId="0" fontId="6" fillId="2" borderId="1" xfId="2" applyFont="1"/>
    <xf numFmtId="167" fontId="6" fillId="2" borderId="1" xfId="2" applyNumberFormat="1" applyFont="1"/>
    <xf numFmtId="14" fontId="6" fillId="2" borderId="1" xfId="2" applyNumberFormat="1" applyFont="1"/>
    <xf numFmtId="2" fontId="2" fillId="0" borderId="0" xfId="2" applyNumberFormat="1" applyFill="1" applyBorder="1"/>
    <xf numFmtId="0" fontId="2" fillId="0" borderId="0" xfId="2" applyFill="1" applyBorder="1"/>
    <xf numFmtId="165" fontId="2" fillId="0" borderId="0" xfId="2" applyNumberFormat="1" applyFill="1" applyBorder="1"/>
    <xf numFmtId="0" fontId="1" fillId="6" borderId="0" xfId="6" applyAlignment="1">
      <alignment horizontal="centerContinuous"/>
    </xf>
    <xf numFmtId="0" fontId="1" fillId="6" borderId="0" xfId="6"/>
    <xf numFmtId="0" fontId="1" fillId="6" borderId="0" xfId="6" applyAlignment="1">
      <alignment horizontal="center" wrapText="1"/>
    </xf>
    <xf numFmtId="0" fontId="1" fillId="6" borderId="0" xfId="6" applyAlignment="1">
      <alignment wrapText="1"/>
    </xf>
    <xf numFmtId="0" fontId="4" fillId="6" borderId="0" xfId="6" applyFont="1" applyAlignment="1">
      <alignment horizontal="centerContinuous"/>
    </xf>
    <xf numFmtId="0" fontId="4" fillId="7" borderId="0" xfId="7" applyFont="1" applyAlignment="1">
      <alignment horizontal="center"/>
    </xf>
    <xf numFmtId="0" fontId="1" fillId="6" borderId="0" xfId="6" applyAlignment="1">
      <alignment horizontal="left" wrapText="1"/>
    </xf>
    <xf numFmtId="0" fontId="1" fillId="6" borderId="0" xfId="6" applyAlignment="1">
      <alignment horizontal="left" wrapText="1"/>
    </xf>
    <xf numFmtId="0" fontId="7" fillId="5" borderId="0" xfId="5" applyAlignment="1">
      <alignment horizontal="center"/>
    </xf>
    <xf numFmtId="0" fontId="7" fillId="5" borderId="0" xfId="5"/>
    <xf numFmtId="0" fontId="7" fillId="5" borderId="0" xfId="5" applyAlignment="1">
      <alignment horizontal="centerContinuous"/>
    </xf>
    <xf numFmtId="0" fontId="8" fillId="5" borderId="0" xfId="5" applyFont="1" applyAlignment="1">
      <alignment horizontal="centerContinuous"/>
    </xf>
  </cellXfs>
  <cellStyles count="8">
    <cellStyle name="20% - Accent1" xfId="4" builtinId="30"/>
    <cellStyle name="20% - Accent3" xfId="6" builtinId="38"/>
    <cellStyle name="60% - Accent3" xfId="7" builtinId="40"/>
    <cellStyle name="Accent1" xfId="5" builtinId="29"/>
    <cellStyle name="Input" xfId="2" builtinId="20"/>
    <cellStyle name="Normal" xfId="0" builtinId="0"/>
    <cellStyle name="Output" xfId="3" builtinId="21"/>
    <cellStyle name="Percent" xfId="1" builtinId="5"/>
  </cellStyles>
  <dxfs count="0"/>
  <tableStyles count="1" defaultTableStyle="TableStyleMedium2" defaultPivotStyle="PivotStyleLight16">
    <tableStyle name="Invisible" pivot="0" table="0" count="0" xr9:uid="{95DEC7BE-4168-4EA7-AC18-C39277182B9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13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17/06/relationships/rdSupportingPropertyBag" Target="richData/rdsupportingpropertybag.xml"/><Relationship Id="rId5" Type="http://schemas.openxmlformats.org/officeDocument/2006/relationships/sharedStrings" Target="sharedStrings.xml"/><Relationship Id="rId10" Type="http://schemas.microsoft.com/office/2017/06/relationships/rdSupportingPropertyBagStructure" Target="richData/rdsupportingpropertybagstructure.xml"/><Relationship Id="rId4" Type="http://schemas.openxmlformats.org/officeDocument/2006/relationships/styles" Target="styles.xml"/><Relationship Id="rId9" Type="http://schemas.microsoft.com/office/2017/06/relationships/richStyles" Target="richData/rich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0</xdr:row>
      <xdr:rowOff>57150</xdr:rowOff>
    </xdr:from>
    <xdr:to>
      <xdr:col>17</xdr:col>
      <xdr:colOff>465495</xdr:colOff>
      <xdr:row>12</xdr:row>
      <xdr:rowOff>114007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517041-0068-8C7B-E7A5-F7A126637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5400" y="57150"/>
          <a:ext cx="9838095" cy="2342857"/>
        </a:xfrm>
        <a:prstGeom prst="rect">
          <a:avLst/>
        </a:prstGeom>
      </xdr:spPr>
    </xdr:pic>
    <xdr:clientData/>
  </xdr:twoCellAnchor>
  <xdr:twoCellAnchor editAs="oneCell">
    <xdr:from>
      <xdr:col>2</xdr:col>
      <xdr:colOff>219075</xdr:colOff>
      <xdr:row>13</xdr:row>
      <xdr:rowOff>0</xdr:rowOff>
    </xdr:from>
    <xdr:to>
      <xdr:col>17</xdr:col>
      <xdr:colOff>389361</xdr:colOff>
      <xdr:row>47</xdr:row>
      <xdr:rowOff>132524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42796C3-29B8-F79A-60A3-A9D8E15B0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43075" y="2476500"/>
          <a:ext cx="9314286" cy="6609524"/>
        </a:xfrm>
        <a:prstGeom prst="rect">
          <a:avLst/>
        </a:prstGeom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3">
  <rv s="0">
    <v>https://www.bing.com/financeapi/forcetrigger?t=a24yz2&amp;q=ARCX%3aURA&amp;form=skydnc</v>
    <v>Learn more on Bing</v>
  </rv>
  <rv s="1">
    <v>en-US</v>
    <v>a24yz2</v>
    <v>268435456</v>
    <v>1</v>
    <v>Powered by Refinitiv</v>
    <v>0</v>
    <v>Glbl X Uranium ETF (ARCX:URA)</v>
    <v>2</v>
    <v>3</v>
    <v>Finance</v>
    <v>4</v>
    <v>28.6188</v>
    <v>17.649999999999999</v>
    <v>0.9375</v>
    <v>0.04</v>
    <v>-9.7369999999999998E-4</v>
    <v>1.9530000000000001E-3</v>
    <v>-0.02</v>
    <v>USD</v>
    <v>NYSE Arca</v>
    <v>ARCX</v>
    <v>6.8999999999999999E-3</v>
    <v>20.625</v>
    <v>ETF</v>
    <v>44883.987288356249</v>
    <v>0</v>
    <v>20.28</v>
    <v>1588529600</v>
    <v>Glbl X Uranium ETF</v>
    <v>20.49</v>
    <v>20.48</v>
    <v>20.52</v>
    <v>20.52</v>
    <v>URA</v>
    <v>Glbl X Uranium ETF (ARCX:URA)</v>
    <v>1488402</v>
    <v>1691921</v>
  </rv>
  <rv s="2">
    <v>1</v>
  </rv>
</rvData>
</file>

<file path=xl/richData/rdrichvaluestructure.xml><?xml version="1.0" encoding="utf-8"?>
<rvStructures xmlns="http://schemas.microsoft.com/office/spreadsheetml/2017/richdata" count="3">
  <s t="_hyperlink">
    <k n="Address" t="s"/>
    <k n="Text" t="s"/>
  </s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Beta"/>
    <k n="Change"/>
    <k n="Change % (Extended hours)"/>
    <k n="Change (%)"/>
    <k n="Change (Extended hours)"/>
    <k n="Currency" t="s"/>
    <k n="Exchange" t="s"/>
    <k n="Exchange abbreviation" t="s"/>
    <k n="Expense ratio"/>
    <k n="High"/>
    <k n="Instrument type" t="s"/>
    <k n="Last trade time"/>
    <k n="LearnMoreOnLink" t="r"/>
    <k n="Low"/>
    <k n="Market cap"/>
    <k n="Name" t="s"/>
    <k n="Open"/>
    <k n="Previous close"/>
    <k n="Price"/>
    <k n="Price (Extended hours)"/>
    <k n="Ticker symbol" t="s"/>
    <k n="UniqueName" t="s"/>
    <k n="Volume"/>
    <k n="Volume average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37">
      <v t="s">%EntityServiceId</v>
      <v t="s">_Format</v>
      <v t="s">%IsRefreshable</v>
      <v t="s">%EntityCulture</v>
      <v t="s">%EntityId</v>
      <v t="s">_Icon</v>
      <v t="s">_Display</v>
      <v t="s">Name</v>
      <v t="s">_SubLabel</v>
      <v t="s">Price</v>
      <v t="s">Price (Extended hours)</v>
      <v t="s">Exchange</v>
      <v t="s">Last trade time</v>
      <v t="s">Ticker symbol</v>
      <v t="s">Exchange abbreviation</v>
      <v t="s">Change</v>
      <v t="s">Change (Extended hours)</v>
      <v t="s">Expense ratio</v>
      <v t="s">Change (%)</v>
      <v t="s">Change % (Extended hours)</v>
      <v t="s">Currency</v>
      <v t="s">Previous close</v>
      <v t="s">Open</v>
      <v t="s">High</v>
      <v t="s">Low</v>
      <v t="s">52 week high</v>
      <v t="s">52 week low</v>
      <v t="s">Volume</v>
      <v t="s">Volume average</v>
      <v t="s">Market cap</v>
      <v t="s">Beta</v>
      <v t="s">Instrument type</v>
      <v t="s">_Flags</v>
      <v t="s">UniqueName</v>
      <v t="s">_DisplayString</v>
      <v t="s">LearnMoreOnLink</v>
      <v t="s">%ProviderInfo</v>
    </a>
  </spbArrays>
  <spbData count="5">
    <spb s="0">
      <v>0</v>
      <v>Name</v>
      <v>LearnMoreOnLink</v>
    </spb>
    <spb s="1">
      <v>0</v>
      <v>0</v>
      <v>0</v>
    </spb>
    <spb s="2">
      <v>1</v>
      <v>1</v>
      <v>1</v>
    </spb>
    <spb s="3">
      <v>1</v>
      <v>2</v>
      <v>1</v>
      <v>3</v>
      <v>1</v>
      <v>1</v>
      <v>1</v>
      <v>4</v>
      <v>5</v>
      <v>6</v>
      <v>1</v>
      <v>1</v>
      <v>5</v>
      <v>1</v>
      <v>4</v>
      <v>7</v>
      <v>8</v>
      <v>1</v>
      <v>1</v>
      <v>5</v>
    </spb>
    <spb s="4">
      <v>at close</v>
      <v>from previous close</v>
      <v>Source: Nasdaq Last Sale</v>
      <v>from previous close</v>
      <v>GMT</v>
      <v>Real-Time Nasdaq Last Sale</v>
      <v>from close</v>
      <v>from close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  <k n="SubTitleProperty" t="s"/>
  </s>
  <s>
    <k n="ShowInCardView" t="b"/>
    <k n="ShowInDotNotation" t="b"/>
    <k n="ShowInAutoComplete" t="b"/>
  </s>
  <s>
    <k n="UniqueName" t="spb"/>
    <k n="`%ProviderInfo" t="spb"/>
    <k n="LearnMoreOnLink" t="spb"/>
  </s>
  <s>
    <k n="Low" t="i"/>
    <k n="Beta" t="i"/>
    <k n="High" t="i"/>
    <k n="Name" t="i"/>
    <k n="Open" t="i"/>
    <k n="Price" t="i"/>
    <k n="Change" t="i"/>
    <k n="Volume" t="i"/>
    <k n="Change (%)" t="i"/>
    <k n="Market cap" t="i"/>
    <k n="52 week low" t="i"/>
    <k n="52 week high" t="i"/>
    <k n="Expense ratio" t="i"/>
    <k n="Previous close" t="i"/>
    <k n="Volume average" t="i"/>
    <k n="Last trade time" t="i"/>
    <k n="`%EntityServiceId" t="i"/>
    <k n="Price (Extended hours)" t="i"/>
    <k n="Change (Extended hours)" t="i"/>
    <k n="Change % (Extended hours)" t="i"/>
  </s>
  <s>
    <k n="Price" t="s"/>
    <k n="Change" t="s"/>
    <k n="Exchange" t="s"/>
    <k n="Change (%)" t="s"/>
    <k n="Last trade time" t="s"/>
    <k n="Price (Extended hours)" t="s"/>
    <k n="Change (Extended hours)" t="s"/>
    <k n="Change % (Extended hours)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6">
    <x:dxf>
      <x:numFmt numFmtId="4" formatCode="#,##0.00"/>
    </x:dxf>
    <x:dxf>
      <x:numFmt numFmtId="3" formatCode="#,##0"/>
    </x:dxf>
    <x:dxf>
      <x:numFmt numFmtId="14" formatCode="0.00%"/>
    </x:dxf>
    <x:dxf>
      <x:numFmt numFmtId="27" formatCode="m/d/yyyy\ h:mm"/>
    </x:dxf>
    <x:dxf>
      <x:numFmt numFmtId="2" formatCode="0.00"/>
    </x:dxf>
    <x:dxf>
      <x:numFmt numFmtId="0" formatCode="General"/>
    </x:dxf>
  </dxfs>
  <richProperties>
    <rPr n="NumberFormat" t="s"/>
    <rPr n="IsTitleField" t="b"/>
  </richProperties>
  <richStyles>
    <rSty dxfid="5">
      <rpv i="0">_([$$-en-US]* #,##0.00_);_([$$-en-US]* (#,##0.00);_([$$-en-US]* "-"??_);_(@_)</rpv>
    </rSty>
    <rSty dxfid="0">
      <rpv i="0">#,##0.00</rpv>
    </rSty>
    <rSty>
      <rpv i="1">1</rpv>
    </rSty>
    <rSty dxfid="1">
      <rpv i="0">#,##0</rpv>
    </rSty>
    <rSty dxfid="2"/>
    <rSty dxfid="5">
      <rpv i="0">_([$$-en-US]* #,##0_);_([$$-en-US]* (#,##0);_([$$-en-US]* "-"_);_(@_)</rpv>
    </rSty>
    <rSty dxfid="3"/>
    <rSty dxfid="4">
      <rpv i="0">0.00</rpv>
    </rSty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CB539-D184-46E1-8E07-1EE5AC8C7DA8}">
  <dimension ref="A1:N38"/>
  <sheetViews>
    <sheetView tabSelected="1" workbookViewId="0">
      <selection activeCell="C2" sqref="C2"/>
    </sheetView>
  </sheetViews>
  <sheetFormatPr defaultRowHeight="15" x14ac:dyDescent="0.25"/>
  <cols>
    <col min="1" max="1" width="28.7109375" customWidth="1"/>
    <col min="2" max="2" width="58" customWidth="1"/>
    <col min="3" max="3" width="21.28515625" customWidth="1"/>
    <col min="4" max="4" width="30.5703125" customWidth="1"/>
    <col min="5" max="6" width="9.28515625" customWidth="1"/>
    <col min="8" max="8" width="7.42578125" customWidth="1"/>
  </cols>
  <sheetData>
    <row r="1" spans="1:14" ht="49.5" customHeight="1" x14ac:dyDescent="0.35">
      <c r="A1" s="27" t="s">
        <v>50</v>
      </c>
      <c r="B1" s="23"/>
      <c r="C1" s="34" t="s">
        <v>64</v>
      </c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</row>
    <row r="2" spans="1:14" ht="21.75" customHeight="1" x14ac:dyDescent="0.25">
      <c r="A2" s="28" t="s">
        <v>51</v>
      </c>
      <c r="B2" s="28" t="s">
        <v>52</v>
      </c>
      <c r="C2" s="31" t="s">
        <v>12</v>
      </c>
      <c r="D2" s="32"/>
      <c r="E2" s="32"/>
      <c r="F2" s="32"/>
      <c r="G2" s="31" t="s">
        <v>2</v>
      </c>
      <c r="H2" s="31"/>
      <c r="I2" s="31" t="s">
        <v>15</v>
      </c>
      <c r="J2" s="31" t="s">
        <v>16</v>
      </c>
      <c r="K2" s="31" t="s">
        <v>17</v>
      </c>
      <c r="L2" s="31" t="s">
        <v>18</v>
      </c>
      <c r="M2" s="31" t="s">
        <v>19</v>
      </c>
      <c r="N2" s="32"/>
    </row>
    <row r="3" spans="1:14" x14ac:dyDescent="0.25">
      <c r="A3" s="24"/>
      <c r="B3" s="24"/>
      <c r="C3" s="2" t="s">
        <v>1</v>
      </c>
      <c r="D3" s="1" t="e" vm="1">
        <v>#VALUE!</v>
      </c>
      <c r="F3" s="2" t="s">
        <v>13</v>
      </c>
      <c r="G3" s="12">
        <f ca="1">IF(ISBLANK(Price_OV),Price,Price_OV)*BS_E*BS_ND1-strike*BS_F*BS_ND2</f>
        <v>0.90920033842075121</v>
      </c>
      <c r="I3" s="9">
        <f ca="1">BS_E*BS_ND1</f>
        <v>0.38692064033581913</v>
      </c>
      <c r="J3" s="9">
        <f ca="1">BS_E*D35/(IF(ISBLANK(Price_OV),Price,Price_OV)*BS_C)</f>
        <v>0.10361441717355309</v>
      </c>
      <c r="K3" s="9">
        <f ca="1">$D$37*(-($D$38*volatility*BS_E*$D$35/(2*yeartoexp^0.5))-rate*strike*BS_F*BS_ND2+yield*$D$38*BS_E*BS_ND1)</f>
        <v>-1.1606010775863601E-2</v>
      </c>
      <c r="L3" s="9">
        <f ca="1">$D$38*BS_E*yeartoexp^0.5*$D$35/100</f>
        <v>3.2363672906774388E-2</v>
      </c>
      <c r="M3" s="9">
        <f ca="1">strike*yeartoexp*BS_F*BS_ND2/100</f>
        <v>1.1933894441581272E-2</v>
      </c>
    </row>
    <row r="4" spans="1:14" ht="15.75" customHeight="1" x14ac:dyDescent="0.25">
      <c r="A4" s="25" t="s">
        <v>53</v>
      </c>
      <c r="B4" s="29" t="s">
        <v>54</v>
      </c>
      <c r="C4" s="2" t="s">
        <v>2</v>
      </c>
      <c r="D4" s="13" cm="1">
        <f t="array" ref="D4">_FV(D3,"price")</f>
        <v>20.52</v>
      </c>
      <c r="F4" s="2" t="s">
        <v>14</v>
      </c>
      <c r="G4" s="12">
        <f ca="1">strike*BS_F*$D$30-IF(ISBLANK(Price_OV),Price,Price_OV)*BS_E*$D$29</f>
        <v>2.3518877311125355</v>
      </c>
      <c r="I4" s="9">
        <f ca="1">BS_E*(BS_ND1-1)</f>
        <v>-0.61307935966418081</v>
      </c>
      <c r="J4" s="9">
        <f ca="1">BS_E*D35/(IF(ISBLANK(Price_OV),Price,Price_OV)*BS_C)</f>
        <v>0.10361441717355309</v>
      </c>
      <c r="K4" s="9">
        <f ca="1">$D$37*(-($D$38*volatility*BS_E*$D$35/(2*yeartoexp^0.5))+rate*strike*BS_F*$D$30-yield*$D$38*BS_E*$D$29)</f>
        <v>-1.1004293313050128E-2</v>
      </c>
      <c r="L4" s="9">
        <f ca="1">$D$38*BS_E*yeartoexp^0.5*$D$35/100</f>
        <v>3.2363672906774388E-2</v>
      </c>
      <c r="M4" s="9">
        <f ca="1">-strike*yeartoexp*BS_F*$D$30/100</f>
        <v>-2.5347053357101565E-2</v>
      </c>
    </row>
    <row r="5" spans="1:14" ht="15.75" customHeight="1" x14ac:dyDescent="0.25">
      <c r="A5" s="25"/>
      <c r="B5" s="29"/>
      <c r="C5" s="2" t="s">
        <v>11</v>
      </c>
      <c r="D5" s="17"/>
    </row>
    <row r="6" spans="1:14" ht="30.75" customHeight="1" x14ac:dyDescent="0.25">
      <c r="A6" s="26" t="s">
        <v>56</v>
      </c>
      <c r="B6" s="30" t="s">
        <v>55</v>
      </c>
      <c r="C6" s="2" t="s">
        <v>0</v>
      </c>
      <c r="D6" s="17">
        <v>22</v>
      </c>
      <c r="F6" s="5" t="s">
        <v>43</v>
      </c>
      <c r="J6" s="6" t="s">
        <v>39</v>
      </c>
    </row>
    <row r="7" spans="1:14" ht="30.75" customHeight="1" x14ac:dyDescent="0.25">
      <c r="A7" s="26" t="s">
        <v>58</v>
      </c>
      <c r="B7" s="30" t="s">
        <v>57</v>
      </c>
      <c r="C7" s="2" t="s">
        <v>7</v>
      </c>
      <c r="D7" s="18">
        <v>0.437</v>
      </c>
      <c r="F7" s="2" t="s">
        <v>38</v>
      </c>
      <c r="G7" s="14">
        <v>3.0808370047850833</v>
      </c>
      <c r="H7" s="1"/>
      <c r="I7" s="15">
        <v>0.57354154890186071</v>
      </c>
      <c r="J7" s="15">
        <v>5.1099342960339703E-2</v>
      </c>
      <c r="K7" s="15">
        <v>-6.6950510097640286E-3</v>
      </c>
      <c r="L7" s="15">
        <v>6.8864537048683408E-2</v>
      </c>
      <c r="M7" s="15">
        <v>6.0879493806447291E-2</v>
      </c>
    </row>
    <row r="8" spans="1:14" x14ac:dyDescent="0.25">
      <c r="A8" s="26" t="s">
        <v>63</v>
      </c>
      <c r="B8" s="30" t="s">
        <v>63</v>
      </c>
      <c r="C8" s="2" t="s">
        <v>8</v>
      </c>
      <c r="D8" s="18">
        <v>0.01</v>
      </c>
      <c r="F8" s="2" t="s">
        <v>37</v>
      </c>
      <c r="G8" s="14">
        <v>0.92953690261723576</v>
      </c>
      <c r="H8" s="1"/>
      <c r="I8" s="15">
        <v>0.24155235273227382</v>
      </c>
      <c r="J8" s="15">
        <v>4.0651450241797518E-2</v>
      </c>
      <c r="K8" s="15">
        <v>-5.2387785659796272E-3</v>
      </c>
      <c r="L8" s="15">
        <v>5.478433066021491E-2</v>
      </c>
      <c r="M8" s="15">
        <v>2.7997494363338843E-2</v>
      </c>
    </row>
    <row r="9" spans="1:14" ht="48" customHeight="1" x14ac:dyDescent="0.25">
      <c r="A9" s="26" t="s">
        <v>60</v>
      </c>
      <c r="B9" s="30" t="s">
        <v>61</v>
      </c>
      <c r="C9" s="2" t="s">
        <v>9</v>
      </c>
      <c r="D9" s="18">
        <v>0</v>
      </c>
    </row>
    <row r="10" spans="1:14" ht="28.5" customHeight="1" x14ac:dyDescent="0.25">
      <c r="A10" s="25" t="s">
        <v>59</v>
      </c>
      <c r="B10" s="29" t="s">
        <v>62</v>
      </c>
      <c r="C10" s="2" t="s">
        <v>3</v>
      </c>
      <c r="I10" s="6" t="s">
        <v>15</v>
      </c>
      <c r="K10" s="6" t="s">
        <v>44</v>
      </c>
    </row>
    <row r="11" spans="1:14" x14ac:dyDescent="0.25">
      <c r="A11" s="25"/>
      <c r="B11" s="29"/>
      <c r="C11" t="s">
        <v>4</v>
      </c>
      <c r="D11" s="19">
        <f ca="1">+TODAY()</f>
        <v>44884</v>
      </c>
      <c r="F11" s="16" t="s">
        <v>42</v>
      </c>
      <c r="G11" s="12">
        <f>G7-G8</f>
        <v>2.1513001021678475</v>
      </c>
      <c r="I11" s="9">
        <f>I7-I8</f>
        <v>0.33198919616958689</v>
      </c>
      <c r="K11" s="10">
        <f>K7-K8</f>
        <v>-1.4562724437844014E-3</v>
      </c>
    </row>
    <row r="12" spans="1:14" x14ac:dyDescent="0.25">
      <c r="A12" s="25"/>
      <c r="B12" s="29"/>
      <c r="C12" t="s">
        <v>5</v>
      </c>
      <c r="D12" s="19">
        <v>44946</v>
      </c>
      <c r="I12" s="11">
        <f>+I11/G11</f>
        <v>0.15432026235439866</v>
      </c>
    </row>
    <row r="13" spans="1:14" x14ac:dyDescent="0.25">
      <c r="A13" s="25"/>
      <c r="B13" s="29"/>
      <c r="C13" t="s">
        <v>10</v>
      </c>
      <c r="D13" s="17"/>
      <c r="I13" s="11">
        <f>1/Price</f>
        <v>4.8732943469785579E-2</v>
      </c>
    </row>
    <row r="14" spans="1:14" ht="15.75" x14ac:dyDescent="0.25">
      <c r="A14" s="25"/>
      <c r="B14" s="29"/>
      <c r="C14" s="2" t="s">
        <v>6</v>
      </c>
      <c r="D14" s="8">
        <f ca="1">IF(ISBLANK(pricingdate),timetoexp/365.25,(expdate-pricingdate)/365.25)</f>
        <v>0.16974674880219029</v>
      </c>
      <c r="F14" s="5"/>
      <c r="H14" s="16" t="s">
        <v>36</v>
      </c>
      <c r="I14" s="10">
        <f>I12/I13</f>
        <v>3.1666517835122603</v>
      </c>
      <c r="J14" s="6"/>
    </row>
    <row r="15" spans="1:14" x14ac:dyDescent="0.25">
      <c r="A15" s="25"/>
      <c r="B15" s="29"/>
      <c r="C15" s="2" t="s">
        <v>33</v>
      </c>
      <c r="D15" s="17">
        <v>365</v>
      </c>
      <c r="F15" s="2"/>
      <c r="G15" s="20"/>
      <c r="H15" s="21"/>
      <c r="I15" s="22"/>
      <c r="J15" s="22"/>
      <c r="K15" s="22"/>
      <c r="L15" s="22"/>
      <c r="M15" s="22"/>
    </row>
    <row r="16" spans="1:14" x14ac:dyDescent="0.25">
      <c r="A16" s="24"/>
      <c r="B16" s="24"/>
      <c r="C16" t="s">
        <v>34</v>
      </c>
      <c r="F16" s="2"/>
      <c r="G16" s="20"/>
      <c r="H16" s="21"/>
      <c r="I16" s="22"/>
      <c r="J16" s="22"/>
      <c r="K16" s="22"/>
      <c r="L16" s="22"/>
      <c r="M16" s="22"/>
    </row>
    <row r="17" spans="1:12" x14ac:dyDescent="0.25">
      <c r="A17" s="24"/>
      <c r="B17" s="24"/>
    </row>
    <row r="18" spans="1:12" x14ac:dyDescent="0.25">
      <c r="A18" s="24"/>
      <c r="B18" s="24"/>
      <c r="I18" s="6"/>
      <c r="L18" s="6"/>
    </row>
    <row r="19" spans="1:12" x14ac:dyDescent="0.25">
      <c r="A19" s="24"/>
      <c r="B19" s="24"/>
      <c r="C19" s="3" t="s">
        <v>21</v>
      </c>
      <c r="D19" s="3"/>
      <c r="F19" s="16"/>
      <c r="G19" s="12"/>
      <c r="I19" s="9"/>
      <c r="J19" s="11"/>
      <c r="K19" s="11"/>
      <c r="L19" s="10"/>
    </row>
    <row r="20" spans="1:12" ht="16.5" customHeight="1" x14ac:dyDescent="0.25">
      <c r="A20" s="24"/>
      <c r="B20" s="24"/>
      <c r="C20" s="3" t="s">
        <v>20</v>
      </c>
      <c r="D20" s="4">
        <f>LN(IF(ISBLANK(Price_OV),Price/strike,Price_OV/strike))</f>
        <v>-6.9642433055747063E-2</v>
      </c>
    </row>
    <row r="21" spans="1:12" x14ac:dyDescent="0.25">
      <c r="A21" s="24"/>
      <c r="B21" s="24"/>
      <c r="C21" s="3" t="s">
        <v>40</v>
      </c>
      <c r="D21" s="4">
        <f ca="1">yeartoexp*(rate-yield+(volatility^2)/2)</f>
        <v>1.790565092402464E-2</v>
      </c>
    </row>
    <row r="22" spans="1:12" x14ac:dyDescent="0.25">
      <c r="A22" s="24"/>
      <c r="B22" s="24"/>
      <c r="C22" s="3" t="s">
        <v>41</v>
      </c>
      <c r="D22" s="4">
        <f ca="1">(volatility*yeartoexp^0.5)</f>
        <v>0.18004545779331807</v>
      </c>
    </row>
    <row r="23" spans="1:12" ht="4.5" customHeight="1" x14ac:dyDescent="0.25">
      <c r="A23" s="24"/>
      <c r="B23" s="24"/>
      <c r="C23" s="3"/>
      <c r="D23" s="4"/>
    </row>
    <row r="24" spans="1:12" x14ac:dyDescent="0.25">
      <c r="A24" s="24"/>
      <c r="B24" s="24"/>
      <c r="C24" s="3" t="s">
        <v>22</v>
      </c>
      <c r="D24" s="4">
        <f ca="1">(BS_A+BS_B)/BS_C</f>
        <v>-0.28735399807260509</v>
      </c>
    </row>
    <row r="25" spans="1:12" x14ac:dyDescent="0.25">
      <c r="A25" s="24"/>
      <c r="B25" s="24"/>
      <c r="C25" s="3" t="s">
        <v>23</v>
      </c>
      <c r="D25" s="4">
        <f ca="1">BS_D1-BS_C</f>
        <v>-0.46739945586592313</v>
      </c>
    </row>
    <row r="26" spans="1:12" ht="4.5" customHeight="1" x14ac:dyDescent="0.25">
      <c r="A26" s="24"/>
      <c r="B26" s="24"/>
      <c r="C26" s="3"/>
      <c r="D26" s="4"/>
    </row>
    <row r="27" spans="1:12" x14ac:dyDescent="0.25">
      <c r="A27" s="24"/>
      <c r="B27" s="24"/>
      <c r="C27" s="3" t="s">
        <v>24</v>
      </c>
      <c r="D27" s="4">
        <f ca="1">_xlfn.NORM.DIST(BS_D1,0,1,TRUE)</f>
        <v>0.38692064033581913</v>
      </c>
    </row>
    <row r="28" spans="1:12" x14ac:dyDescent="0.25">
      <c r="A28" s="24"/>
      <c r="B28" s="24"/>
      <c r="C28" s="3" t="s">
        <v>25</v>
      </c>
      <c r="D28" s="4">
        <f ca="1">_xlfn.NORM.DIST(BS_D2,0,1,TRUE)</f>
        <v>0.3201070559156467</v>
      </c>
    </row>
    <row r="29" spans="1:12" x14ac:dyDescent="0.25">
      <c r="A29" s="24"/>
      <c r="B29" s="24"/>
      <c r="C29" s="3" t="s">
        <v>26</v>
      </c>
      <c r="D29" s="4">
        <f ca="1">_xlfn.NORM.DIST(-BS_D1,0,1,TRUE)</f>
        <v>0.61307935966418081</v>
      </c>
    </row>
    <row r="30" spans="1:12" x14ac:dyDescent="0.25">
      <c r="A30" s="24"/>
      <c r="B30" s="24"/>
      <c r="C30" s="3" t="s">
        <v>27</v>
      </c>
      <c r="D30" s="4">
        <f ca="1">_xlfn.NORM.DIST(-BS_D2,0,1,TRUE)</f>
        <v>0.6798929440843533</v>
      </c>
    </row>
    <row r="31" spans="1:12" ht="6" customHeight="1" x14ac:dyDescent="0.25">
      <c r="C31" s="3"/>
      <c r="D31" s="4"/>
    </row>
    <row r="32" spans="1:12" x14ac:dyDescent="0.25">
      <c r="C32" s="3" t="s">
        <v>28</v>
      </c>
      <c r="D32" s="4">
        <f ca="1">EXP(-yield*yeartoexp)</f>
        <v>1</v>
      </c>
    </row>
    <row r="33" spans="3:4" x14ac:dyDescent="0.25">
      <c r="C33" s="3" t="s">
        <v>29</v>
      </c>
      <c r="D33" s="4">
        <f ca="1">EXP(-rate*yeartoexp)</f>
        <v>0.99830397239508106</v>
      </c>
    </row>
    <row r="34" spans="3:4" x14ac:dyDescent="0.25">
      <c r="C34" s="3"/>
      <c r="D34" s="3"/>
    </row>
    <row r="35" spans="3:4" x14ac:dyDescent="0.25">
      <c r="C35" s="3" t="s">
        <v>30</v>
      </c>
      <c r="D35" s="4">
        <f ca="1">_xlfn.NORM.DIST(-BS_D1,0,1,FALSE)</f>
        <v>0.38280686217048415</v>
      </c>
    </row>
    <row r="36" spans="3:4" x14ac:dyDescent="0.25">
      <c r="C36" s="3" t="s">
        <v>31</v>
      </c>
      <c r="D36" s="4">
        <f ca="1">_xlfn.NORM.DIST(-BS_D2,0,1,FALSE)</f>
        <v>0.35766100346864649</v>
      </c>
    </row>
    <row r="37" spans="3:4" x14ac:dyDescent="0.25">
      <c r="C37" s="3" t="s">
        <v>32</v>
      </c>
      <c r="D37" s="4">
        <f>1/trading_days</f>
        <v>2.7397260273972603E-3</v>
      </c>
    </row>
    <row r="38" spans="3:4" x14ac:dyDescent="0.25">
      <c r="C38" s="3" t="s">
        <v>35</v>
      </c>
      <c r="D38" s="3">
        <f>IF(ISBLANK(Price_OV),Price,Price_OV)</f>
        <v>20.52</v>
      </c>
    </row>
  </sheetData>
  <mergeCells count="4">
    <mergeCell ref="B4:B5"/>
    <mergeCell ref="B10:B15"/>
    <mergeCell ref="A4:A5"/>
    <mergeCell ref="A10:A15"/>
  </mergeCell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AFC04-FB60-496D-AA37-D14E1B9892A4}">
  <dimension ref="A1:A12"/>
  <sheetViews>
    <sheetView topLeftCell="A10" workbookViewId="0">
      <selection activeCell="C14" sqref="C14"/>
    </sheetView>
  </sheetViews>
  <sheetFormatPr defaultRowHeight="15" x14ac:dyDescent="0.25"/>
  <cols>
    <col min="1" max="1" width="13.7109375" customWidth="1"/>
  </cols>
  <sheetData>
    <row r="1" spans="1:1" x14ac:dyDescent="0.25">
      <c r="A1" t="s">
        <v>45</v>
      </c>
    </row>
    <row r="2" spans="1:1" x14ac:dyDescent="0.25">
      <c r="A2" s="7" t="s">
        <v>15</v>
      </c>
    </row>
    <row r="3" spans="1:1" x14ac:dyDescent="0.25">
      <c r="A3" s="7" t="s">
        <v>16</v>
      </c>
    </row>
    <row r="4" spans="1:1" x14ac:dyDescent="0.25">
      <c r="A4" s="7" t="s">
        <v>17</v>
      </c>
    </row>
    <row r="5" spans="1:1" x14ac:dyDescent="0.25">
      <c r="A5" s="7" t="s">
        <v>18</v>
      </c>
    </row>
    <row r="6" spans="1:1" x14ac:dyDescent="0.25">
      <c r="A6" s="7" t="s">
        <v>19</v>
      </c>
    </row>
    <row r="8" spans="1:1" x14ac:dyDescent="0.25">
      <c r="A8" s="7" t="s">
        <v>46</v>
      </c>
    </row>
    <row r="9" spans="1:1" x14ac:dyDescent="0.25">
      <c r="A9" s="7" t="s">
        <v>47</v>
      </c>
    </row>
    <row r="10" spans="1:1" x14ac:dyDescent="0.25">
      <c r="A10" s="7" t="s">
        <v>2</v>
      </c>
    </row>
    <row r="11" spans="1:1" x14ac:dyDescent="0.25">
      <c r="A11" s="7" t="s">
        <v>48</v>
      </c>
    </row>
    <row r="12" spans="1:1" x14ac:dyDescent="0.25">
      <c r="A12" s="7" t="s">
        <v>49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Calculator</vt:lpstr>
      <vt:lpstr>notes</vt:lpstr>
      <vt:lpstr>BS_A</vt:lpstr>
      <vt:lpstr>BS_B</vt:lpstr>
      <vt:lpstr>BS_C</vt:lpstr>
      <vt:lpstr>BS_D1</vt:lpstr>
      <vt:lpstr>BS_D2</vt:lpstr>
      <vt:lpstr>BS_E</vt:lpstr>
      <vt:lpstr>BS_F</vt:lpstr>
      <vt:lpstr>BS_ND1</vt:lpstr>
      <vt:lpstr>BS_ND2</vt:lpstr>
      <vt:lpstr>expdate</vt:lpstr>
      <vt:lpstr>Price</vt:lpstr>
      <vt:lpstr>Price_OV</vt:lpstr>
      <vt:lpstr>pricingdate</vt:lpstr>
      <vt:lpstr>rate</vt:lpstr>
      <vt:lpstr>stock</vt:lpstr>
      <vt:lpstr>strike</vt:lpstr>
      <vt:lpstr>timetoexp</vt:lpstr>
      <vt:lpstr>trading_days</vt:lpstr>
      <vt:lpstr>volatility</vt:lpstr>
      <vt:lpstr>yeartoexp</vt:lpstr>
      <vt:lpstr>yield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Maxwell III,Robert E</dc:creator>
  <cp:lastModifiedBy>Robert Maxwell</cp:lastModifiedBy>
  <dcterms:created xsi:type="dcterms:W3CDTF">2022-05-31T13:02:56Z</dcterms:created>
  <dcterms:modified xsi:type="dcterms:W3CDTF">2022-11-19T22:50:22Z</dcterms:modified>
</cp:coreProperties>
</file>