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axwe\OneDrive\Documents\Templates\"/>
    </mc:Choice>
  </mc:AlternateContent>
  <xr:revisionPtr revIDLastSave="0" documentId="13_ncr:1_{7104796F-6BDE-4C53-A4B8-C35B3DB6FA78}" xr6:coauthVersionLast="47" xr6:coauthVersionMax="47" xr10:uidLastSave="{00000000-0000-0000-0000-000000000000}"/>
  <bookViews>
    <workbookView xWindow="-120" yWindow="-120" windowWidth="29040" windowHeight="15720" xr2:uid="{7C034714-65FE-4298-BF26-EAF8B4B22499}"/>
  </bookViews>
  <sheets>
    <sheet name="IRA tax calculator" sheetId="1" r:id="rId1"/>
    <sheet name="tables" sheetId="2" r:id="rId2"/>
  </sheets>
  <definedNames>
    <definedName name="attained_age">'IRA tax calculator'!$B$7</definedName>
    <definedName name="dep_tax">'IRA tax calculator'!$B$21</definedName>
    <definedName name="dep_tax_rate">'IRA tax calculator'!$B$21</definedName>
    <definedName name="deps_cnt">'IRA tax calculator'!$B$20</definedName>
    <definedName name="geo_return_rate">'IRA tax calculator'!$B$4</definedName>
    <definedName name="inf_disc">'IRA tax calculator'!$B$16</definedName>
    <definedName name="inflation">'IRA tax calculator'!$B$5</definedName>
    <definedName name="inital_bal">'IRA tax calculator'!$B$6</definedName>
    <definedName name="inv_disc">'IRA tax calculator'!$B$17</definedName>
    <definedName name="ord_income">'IRA tax calculator'!$B$14</definedName>
    <definedName name="RMD_factor">'IRA tax calculator'!$B$9</definedName>
    <definedName name="RMD_table">Table1[#All]</definedName>
    <definedName name="s_j">'IRA tax calculator'!$B$22</definedName>
    <definedName name="start_year">'IRA tax calculator'!$B$8</definedName>
    <definedName name="tax_table">Table2[#All]</definedName>
    <definedName name="wd_years">'IRA tax calculator'!$B$19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4" i="1" l="1"/>
  <c r="X4" i="1"/>
  <c r="E5" i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D5" i="1" l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F28" i="1" s="1"/>
  <c r="B14" i="1"/>
  <c r="L6" i="1" s="1"/>
  <c r="I8" i="2"/>
  <c r="H8" i="2"/>
  <c r="I7" i="2"/>
  <c r="H7" i="2"/>
  <c r="T4" i="1"/>
  <c r="U4" i="1"/>
  <c r="V4" i="1"/>
  <c r="S4" i="1"/>
  <c r="F14" i="1" l="1"/>
  <c r="F13" i="1"/>
  <c r="F12" i="1"/>
  <c r="F10" i="1"/>
  <c r="F21" i="1"/>
  <c r="F8" i="1"/>
  <c r="F7" i="1"/>
  <c r="F26" i="1"/>
  <c r="F25" i="1"/>
  <c r="F23" i="1"/>
  <c r="F19" i="1"/>
  <c r="F5" i="1"/>
  <c r="F24" i="1"/>
  <c r="F11" i="1"/>
  <c r="F22" i="1"/>
  <c r="F9" i="1"/>
  <c r="F20" i="1"/>
  <c r="F16" i="1"/>
  <c r="F18" i="1"/>
  <c r="F6" i="1"/>
  <c r="F17" i="1"/>
  <c r="F27" i="1"/>
  <c r="F15" i="1"/>
  <c r="L5" i="1"/>
  <c r="B17" i="1" l="1"/>
  <c r="B16" i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O5" i="1"/>
  <c r="G5" i="1"/>
  <c r="B9" i="1"/>
  <c r="B10" i="1" s="1"/>
  <c r="I5" i="1" l="1"/>
  <c r="AB5" i="1" s="1"/>
  <c r="G6" i="1"/>
  <c r="J6" i="1" s="1"/>
  <c r="J5" i="1"/>
  <c r="M5" i="1" s="1"/>
  <c r="R5" i="1" s="1"/>
  <c r="P5" i="1"/>
  <c r="O6" i="1"/>
  <c r="Q5" i="1" l="1"/>
  <c r="S5" i="1"/>
  <c r="G7" i="1"/>
  <c r="J7" i="1" s="1"/>
  <c r="G8" i="1" s="1"/>
  <c r="J8" i="1" s="1"/>
  <c r="G9" i="1" s="1"/>
  <c r="AC5" i="1"/>
  <c r="AD5" i="1" s="1"/>
  <c r="Q6" i="1"/>
  <c r="M6" i="1"/>
  <c r="R6" i="1" s="1"/>
  <c r="I6" i="1"/>
  <c r="P6" i="1"/>
  <c r="O7" i="1"/>
  <c r="S6" i="1" l="1"/>
  <c r="T5" i="1"/>
  <c r="U5" i="1" s="1"/>
  <c r="I7" i="1"/>
  <c r="AB7" i="1" s="1"/>
  <c r="AC7" i="1" s="1"/>
  <c r="AD7" i="1" s="1"/>
  <c r="M7" i="1"/>
  <c r="R7" i="1" s="1"/>
  <c r="J9" i="1"/>
  <c r="G10" i="1" s="1"/>
  <c r="M8" i="1"/>
  <c r="AB6" i="1"/>
  <c r="AC6" i="1" s="1"/>
  <c r="AD6" i="1" s="1"/>
  <c r="O8" i="1"/>
  <c r="Q7" i="1"/>
  <c r="P7" i="1"/>
  <c r="S7" i="1" l="1"/>
  <c r="T6" i="1"/>
  <c r="V5" i="1"/>
  <c r="W5" i="1" s="1"/>
  <c r="R8" i="1"/>
  <c r="J10" i="1"/>
  <c r="G11" i="1" s="1"/>
  <c r="M9" i="1"/>
  <c r="I8" i="1"/>
  <c r="I9" i="1"/>
  <c r="P8" i="1"/>
  <c r="O9" i="1"/>
  <c r="Q8" i="1"/>
  <c r="S8" i="1" l="1"/>
  <c r="U6" i="1"/>
  <c r="R9" i="1"/>
  <c r="X5" i="1"/>
  <c r="Y5" i="1" s="1"/>
  <c r="Z5" i="1" s="1"/>
  <c r="T7" i="1"/>
  <c r="J11" i="1"/>
  <c r="G12" i="1" s="1"/>
  <c r="M10" i="1"/>
  <c r="AB9" i="1"/>
  <c r="AC9" i="1" s="1"/>
  <c r="AD9" i="1" s="1"/>
  <c r="AB8" i="1"/>
  <c r="AC8" i="1" s="1"/>
  <c r="AD8" i="1" s="1"/>
  <c r="O10" i="1"/>
  <c r="R10" i="1" s="1"/>
  <c r="Q9" i="1"/>
  <c r="P9" i="1"/>
  <c r="U7" i="1" l="1"/>
  <c r="V7" i="1" s="1"/>
  <c r="W7" i="1" s="1"/>
  <c r="V6" i="1"/>
  <c r="S9" i="1"/>
  <c r="T8" i="1"/>
  <c r="M11" i="1"/>
  <c r="I10" i="1"/>
  <c r="S10" i="1"/>
  <c r="P10" i="1"/>
  <c r="O11" i="1"/>
  <c r="Q10" i="1"/>
  <c r="X7" i="1" l="1"/>
  <c r="Y7" i="1" s="1"/>
  <c r="Z7" i="1" s="1"/>
  <c r="T10" i="1"/>
  <c r="W6" i="1"/>
  <c r="X6" i="1" s="1"/>
  <c r="U8" i="1"/>
  <c r="T9" i="1"/>
  <c r="R11" i="1"/>
  <c r="J12" i="1"/>
  <c r="AB10" i="1"/>
  <c r="AC10" i="1" s="1"/>
  <c r="AD10" i="1" s="1"/>
  <c r="I11" i="1"/>
  <c r="O12" i="1"/>
  <c r="Q11" i="1"/>
  <c r="P11" i="1"/>
  <c r="V8" i="1" l="1"/>
  <c r="W8" i="1"/>
  <c r="U10" i="1"/>
  <c r="V10" i="1" s="1"/>
  <c r="U9" i="1"/>
  <c r="V9" i="1" s="1"/>
  <c r="Y6" i="1"/>
  <c r="Z6" i="1" s="1"/>
  <c r="S11" i="1"/>
  <c r="M12" i="1"/>
  <c r="R12" i="1" s="1"/>
  <c r="G13" i="1"/>
  <c r="J13" i="1" s="1"/>
  <c r="M13" i="1" s="1"/>
  <c r="AB11" i="1"/>
  <c r="AC11" i="1" s="1"/>
  <c r="AD11" i="1" s="1"/>
  <c r="I12" i="1"/>
  <c r="P12" i="1"/>
  <c r="O13" i="1"/>
  <c r="Q12" i="1"/>
  <c r="W9" i="1" l="1"/>
  <c r="X8" i="1"/>
  <c r="Y8" i="1" s="1"/>
  <c r="Z8" i="1" s="1"/>
  <c r="W10" i="1"/>
  <c r="X10" i="1" s="1"/>
  <c r="Y10" i="1" s="1"/>
  <c r="Z10" i="1" s="1"/>
  <c r="X9" i="1"/>
  <c r="S12" i="1"/>
  <c r="T11" i="1"/>
  <c r="G14" i="1"/>
  <c r="J14" i="1" s="1"/>
  <c r="M14" i="1" s="1"/>
  <c r="R13" i="1"/>
  <c r="AB12" i="1"/>
  <c r="AC12" i="1" s="1"/>
  <c r="AD12" i="1" s="1"/>
  <c r="I13" i="1"/>
  <c r="O14" i="1"/>
  <c r="Q13" i="1"/>
  <c r="P13" i="1"/>
  <c r="Y9" i="1" l="1"/>
  <c r="Z9" i="1" s="1"/>
  <c r="T12" i="1"/>
  <c r="U12" i="1" s="1"/>
  <c r="V12" i="1" s="1"/>
  <c r="S13" i="1"/>
  <c r="U11" i="1"/>
  <c r="R14" i="1"/>
  <c r="G15" i="1"/>
  <c r="J15" i="1" s="1"/>
  <c r="M15" i="1" s="1"/>
  <c r="AB13" i="1"/>
  <c r="AC13" i="1" s="1"/>
  <c r="AD13" i="1" s="1"/>
  <c r="I14" i="1"/>
  <c r="AB14" i="1" s="1"/>
  <c r="AC14" i="1" s="1"/>
  <c r="AD14" i="1" s="1"/>
  <c r="P14" i="1"/>
  <c r="O15" i="1"/>
  <c r="Q14" i="1"/>
  <c r="S14" i="1" l="1"/>
  <c r="V11" i="1"/>
  <c r="W11" i="1" s="1"/>
  <c r="X11" i="1" s="1"/>
  <c r="W12" i="1"/>
  <c r="X12" i="1" s="1"/>
  <c r="T13" i="1"/>
  <c r="U13" i="1" s="1"/>
  <c r="G16" i="1"/>
  <c r="J16" i="1" s="1"/>
  <c r="M16" i="1" s="1"/>
  <c r="R15" i="1"/>
  <c r="I15" i="1"/>
  <c r="S15" i="1"/>
  <c r="O16" i="1"/>
  <c r="Q15" i="1"/>
  <c r="P15" i="1"/>
  <c r="V13" i="1" l="1"/>
  <c r="W13" i="1"/>
  <c r="Y11" i="1"/>
  <c r="Z11" i="1" s="1"/>
  <c r="T15" i="1"/>
  <c r="T14" i="1"/>
  <c r="U14" i="1" s="1"/>
  <c r="V14" i="1" s="1"/>
  <c r="Y12" i="1"/>
  <c r="Z12" i="1" s="1"/>
  <c r="R16" i="1"/>
  <c r="G17" i="1"/>
  <c r="J17" i="1" s="1"/>
  <c r="M17" i="1" s="1"/>
  <c r="AB15" i="1"/>
  <c r="AC15" i="1" s="1"/>
  <c r="AD15" i="1" s="1"/>
  <c r="I16" i="1"/>
  <c r="S16" i="1"/>
  <c r="U15" i="1"/>
  <c r="V15" i="1" s="1"/>
  <c r="P16" i="1"/>
  <c r="O17" i="1"/>
  <c r="Q16" i="1"/>
  <c r="X13" i="1" l="1"/>
  <c r="Y13" i="1" s="1"/>
  <c r="Z13" i="1" s="1"/>
  <c r="T16" i="1"/>
  <c r="U16" i="1" s="1"/>
  <c r="W15" i="1"/>
  <c r="W14" i="1"/>
  <c r="X14" i="1" s="1"/>
  <c r="G18" i="1"/>
  <c r="J18" i="1" s="1"/>
  <c r="R17" i="1"/>
  <c r="AB16" i="1"/>
  <c r="AC16" i="1" s="1"/>
  <c r="AD16" i="1" s="1"/>
  <c r="I17" i="1"/>
  <c r="V16" i="1"/>
  <c r="O18" i="1"/>
  <c r="Q17" i="1"/>
  <c r="P17" i="1"/>
  <c r="W16" i="1" l="1"/>
  <c r="X16" i="1" s="1"/>
  <c r="S17" i="1"/>
  <c r="Y14" i="1"/>
  <c r="Z14" i="1" s="1"/>
  <c r="X15" i="1"/>
  <c r="Y15" i="1" s="1"/>
  <c r="Z15" i="1" s="1"/>
  <c r="G19" i="1"/>
  <c r="J19" i="1" s="1"/>
  <c r="M19" i="1" s="1"/>
  <c r="M18" i="1"/>
  <c r="R18" i="1" s="1"/>
  <c r="AB17" i="1"/>
  <c r="AC17" i="1" s="1"/>
  <c r="AD17" i="1" s="1"/>
  <c r="I18" i="1"/>
  <c r="P18" i="1"/>
  <c r="O19" i="1"/>
  <c r="Q18" i="1"/>
  <c r="Y16" i="1" l="1"/>
  <c r="T17" i="1"/>
  <c r="U17" i="1" s="1"/>
  <c r="V17" i="1" s="1"/>
  <c r="S18" i="1"/>
  <c r="I19" i="1"/>
  <c r="AB19" i="1" s="1"/>
  <c r="AC19" i="1" s="1"/>
  <c r="AD19" i="1" s="1"/>
  <c r="G20" i="1"/>
  <c r="J20" i="1" s="1"/>
  <c r="M20" i="1" s="1"/>
  <c r="R19" i="1"/>
  <c r="AB18" i="1"/>
  <c r="AC18" i="1" s="1"/>
  <c r="AD18" i="1" s="1"/>
  <c r="Z16" i="1"/>
  <c r="O20" i="1"/>
  <c r="Q19" i="1"/>
  <c r="P19" i="1"/>
  <c r="W17" i="1" l="1"/>
  <c r="X17" i="1" s="1"/>
  <c r="T18" i="1"/>
  <c r="S19" i="1"/>
  <c r="Y17" i="1"/>
  <c r="Z17" i="1" s="1"/>
  <c r="G21" i="1"/>
  <c r="J21" i="1" s="1"/>
  <c r="M21" i="1" s="1"/>
  <c r="R20" i="1"/>
  <c r="I20" i="1"/>
  <c r="P20" i="1"/>
  <c r="O21" i="1"/>
  <c r="Q20" i="1"/>
  <c r="S20" i="1" l="1"/>
  <c r="T19" i="1"/>
  <c r="U19" i="1" s="1"/>
  <c r="V19" i="1" s="1"/>
  <c r="U18" i="1"/>
  <c r="V18" i="1" s="1"/>
  <c r="I21" i="1"/>
  <c r="AB21" i="1" s="1"/>
  <c r="AC21" i="1" s="1"/>
  <c r="AD21" i="1" s="1"/>
  <c r="G22" i="1"/>
  <c r="J22" i="1" s="1"/>
  <c r="M22" i="1" s="1"/>
  <c r="R21" i="1"/>
  <c r="AB20" i="1"/>
  <c r="AC20" i="1" s="1"/>
  <c r="AD20" i="1" s="1"/>
  <c r="S21" i="1"/>
  <c r="O22" i="1"/>
  <c r="Q21" i="1"/>
  <c r="P21" i="1"/>
  <c r="W19" i="1" l="1"/>
  <c r="X19" i="1" s="1"/>
  <c r="T21" i="1"/>
  <c r="T20" i="1"/>
  <c r="U20" i="1" s="1"/>
  <c r="V20" i="1" s="1"/>
  <c r="W18" i="1"/>
  <c r="G23" i="1"/>
  <c r="J23" i="1" s="1"/>
  <c r="M23" i="1" s="1"/>
  <c r="R22" i="1"/>
  <c r="I22" i="1"/>
  <c r="P22" i="1"/>
  <c r="O23" i="1"/>
  <c r="Q22" i="1"/>
  <c r="Y19" i="1" l="1"/>
  <c r="Z19" i="1" s="1"/>
  <c r="X18" i="1"/>
  <c r="Y18" i="1" s="1"/>
  <c r="Z18" i="1" s="1"/>
  <c r="U21" i="1"/>
  <c r="V21" i="1" s="1"/>
  <c r="S22" i="1"/>
  <c r="W20" i="1"/>
  <c r="X20" i="1" s="1"/>
  <c r="Y20" i="1" s="1"/>
  <c r="Z20" i="1" s="1"/>
  <c r="I23" i="1"/>
  <c r="AB23" i="1" s="1"/>
  <c r="AC23" i="1" s="1"/>
  <c r="AD23" i="1" s="1"/>
  <c r="R23" i="1"/>
  <c r="G24" i="1"/>
  <c r="J24" i="1" s="1"/>
  <c r="M24" i="1" s="1"/>
  <c r="AB22" i="1"/>
  <c r="AC22" i="1" s="1"/>
  <c r="AD22" i="1" s="1"/>
  <c r="S23" i="1"/>
  <c r="O24" i="1"/>
  <c r="Q23" i="1"/>
  <c r="P23" i="1"/>
  <c r="T22" i="1" l="1"/>
  <c r="T23" i="1"/>
  <c r="W21" i="1"/>
  <c r="U22" i="1"/>
  <c r="V22" i="1" s="1"/>
  <c r="G25" i="1"/>
  <c r="J25" i="1" s="1"/>
  <c r="M25" i="1" s="1"/>
  <c r="R24" i="1"/>
  <c r="I24" i="1"/>
  <c r="S24" i="1"/>
  <c r="P24" i="1"/>
  <c r="O25" i="1"/>
  <c r="Q24" i="1"/>
  <c r="U23" i="1" l="1"/>
  <c r="X21" i="1"/>
  <c r="Y21" i="1" s="1"/>
  <c r="Z21" i="1" s="1"/>
  <c r="T24" i="1"/>
  <c r="W22" i="1"/>
  <c r="G26" i="1"/>
  <c r="J26" i="1" s="1"/>
  <c r="M26" i="1" s="1"/>
  <c r="R25" i="1"/>
  <c r="I25" i="1"/>
  <c r="AB25" i="1" s="1"/>
  <c r="AC25" i="1" s="1"/>
  <c r="AD25" i="1" s="1"/>
  <c r="AB24" i="1"/>
  <c r="AC24" i="1" s="1"/>
  <c r="AD24" i="1" s="1"/>
  <c r="S25" i="1"/>
  <c r="O26" i="1"/>
  <c r="Q25" i="1"/>
  <c r="P25" i="1"/>
  <c r="U24" i="1" l="1"/>
  <c r="V24" i="1" s="1"/>
  <c r="V23" i="1"/>
  <c r="X22" i="1"/>
  <c r="Y22" i="1" s="1"/>
  <c r="Z22" i="1" s="1"/>
  <c r="T25" i="1"/>
  <c r="G27" i="1"/>
  <c r="J27" i="1" s="1"/>
  <c r="R26" i="1"/>
  <c r="I26" i="1"/>
  <c r="S26" i="1"/>
  <c r="P26" i="1"/>
  <c r="O27" i="1"/>
  <c r="Q26" i="1"/>
  <c r="U25" i="1" l="1"/>
  <c r="W24" i="1"/>
  <c r="X24" i="1" s="1"/>
  <c r="W23" i="1"/>
  <c r="X23" i="1" s="1"/>
  <c r="Y23" i="1" s="1"/>
  <c r="Z23" i="1" s="1"/>
  <c r="T26" i="1"/>
  <c r="U26" i="1" s="1"/>
  <c r="V26" i="1" s="1"/>
  <c r="G28" i="1"/>
  <c r="J28" i="1" s="1"/>
  <c r="M28" i="1" s="1"/>
  <c r="M27" i="1"/>
  <c r="R27" i="1" s="1"/>
  <c r="AB26" i="1"/>
  <c r="AC26" i="1" s="1"/>
  <c r="AD26" i="1" s="1"/>
  <c r="I27" i="1"/>
  <c r="O28" i="1"/>
  <c r="Q27" i="1"/>
  <c r="P27" i="1"/>
  <c r="V25" i="1" l="1"/>
  <c r="W25" i="1" s="1"/>
  <c r="W26" i="1"/>
  <c r="S27" i="1"/>
  <c r="Y24" i="1"/>
  <c r="Z24" i="1" s="1"/>
  <c r="X25" i="1"/>
  <c r="AB27" i="1"/>
  <c r="AC27" i="1" s="1"/>
  <c r="AD27" i="1" s="1"/>
  <c r="I28" i="1"/>
  <c r="P28" i="1"/>
  <c r="Q28" i="1"/>
  <c r="R28" i="1"/>
  <c r="T27" i="1" l="1"/>
  <c r="X26" i="1"/>
  <c r="Y26" i="1" s="1"/>
  <c r="Z26" i="1" s="1"/>
  <c r="Y25" i="1"/>
  <c r="Z25" i="1" s="1"/>
  <c r="U27" i="1"/>
  <c r="V27" i="1" s="1"/>
  <c r="AB28" i="1"/>
  <c r="AC28" i="1" s="1"/>
  <c r="AD28" i="1" s="1"/>
  <c r="S28" i="1"/>
  <c r="W27" i="1" l="1"/>
  <c r="T28" i="1"/>
  <c r="X27" i="1" l="1"/>
  <c r="Y27" i="1" s="1"/>
  <c r="Z27" i="1" s="1"/>
  <c r="U28" i="1"/>
  <c r="V28" i="1" s="1"/>
  <c r="W28" i="1" l="1"/>
  <c r="X28" i="1" s="1"/>
  <c r="Y28" i="1" l="1"/>
  <c r="Z28" i="1" s="1"/>
</calcChain>
</file>

<file path=xl/sharedStrings.xml><?xml version="1.0" encoding="utf-8"?>
<sst xmlns="http://schemas.openxmlformats.org/spreadsheetml/2006/main" count="50" uniqueCount="42">
  <si>
    <t>Inputs</t>
  </si>
  <si>
    <t>Geometric Annual Return</t>
  </si>
  <si>
    <t>Age</t>
  </si>
  <si>
    <t>RMD</t>
  </si>
  <si>
    <t>IRA Required Minimum Distributions</t>
  </si>
  <si>
    <r>
      <t> </t>
    </r>
    <r>
      <rPr>
        <b/>
        <sz val="11"/>
        <color theme="1"/>
        <rFont val="Calibri"/>
        <family val="2"/>
        <scheme val="minor"/>
      </rPr>
      <t>Age</t>
    </r>
  </si>
  <si>
    <t>Distribution Period in Years</t>
  </si>
  <si>
    <t>RMD Factor</t>
  </si>
  <si>
    <t>Initial Balance Trad IRA</t>
  </si>
  <si>
    <t>Factor</t>
  </si>
  <si>
    <t>Inflation Rate</t>
  </si>
  <si>
    <t>inflation discount</t>
  </si>
  <si>
    <t>investment discount</t>
  </si>
  <si>
    <t>Discount</t>
  </si>
  <si>
    <t>IRA Balance</t>
  </si>
  <si>
    <t>Income</t>
  </si>
  <si>
    <t>Inflation Discounted</t>
  </si>
  <si>
    <t>Total Income</t>
  </si>
  <si>
    <t>Pool</t>
  </si>
  <si>
    <t>Bracket</t>
  </si>
  <si>
    <t>Tax Rate</t>
  </si>
  <si>
    <t>Amount</t>
  </si>
  <si>
    <t>Tax Max</t>
  </si>
  <si>
    <t>2023 Tax table</t>
  </si>
  <si>
    <t>Tax</t>
  </si>
  <si>
    <t>Ordinary Taxable Income</t>
  </si>
  <si>
    <t>IRA Dependent W/D Years</t>
  </si>
  <si>
    <t>Number of Dependents</t>
  </si>
  <si>
    <t>Dep Tax Rate</t>
  </si>
  <si>
    <t>Single (1) or Joint Tax (2)</t>
  </si>
  <si>
    <t>Regular Income</t>
  </si>
  <si>
    <t>Roth Roll</t>
  </si>
  <si>
    <t>Projection</t>
  </si>
  <si>
    <t>ROTH Conversion</t>
  </si>
  <si>
    <t>PV Per Beneficiary</t>
  </si>
  <si>
    <t>Ben Additional Income</t>
  </si>
  <si>
    <t>Ben Tax</t>
  </si>
  <si>
    <t>Ben Tax Liability</t>
  </si>
  <si>
    <t>Beneficiary Annual</t>
  </si>
  <si>
    <t>Traditional IRA Tax Prep Template</t>
  </si>
  <si>
    <t>Return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</si>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</sst>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0000"/>
    <numFmt numFmtId="166" formatCode="0.0000"/>
    <numFmt numFmtId="167" formatCode="0.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8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  <xf numFmtId="0" fontId="1" fillId="4" borderId="0" applyNumberFormat="0" applyBorder="0" applyAlignment="0" applyProtection="0"/>
    <xf numFmtId="0" fontId="5" fillId="5" borderId="0" applyNumberFormat="0" applyBorder="0" applyAlignment="0" applyProtection="0"/>
    <xf numFmtId="0" fontId="1" fillId="6" borderId="0" applyNumberFormat="0" applyBorder="0" applyAlignment="0" applyProtection="0"/>
  </cellStyleXfs>
  <cellXfs count="29">
    <xf numFmtId="0" fontId="0" fillId="0" borderId="0" xfId="0"/>
    <xf numFmtId="0" fontId="0" fillId="0" borderId="0" xfId="0" applyAlignment="1">
      <alignment vertical="center" wrapText="1"/>
    </xf>
    <xf numFmtId="0" fontId="4" fillId="0" borderId="0" xfId="0" applyFont="1" applyAlignment="1">
      <alignment vertical="center" wrapText="1"/>
    </xf>
    <xf numFmtId="44" fontId="0" fillId="0" borderId="0" xfId="1" applyFont="1"/>
    <xf numFmtId="164" fontId="0" fillId="0" borderId="0" xfId="1" applyNumberFormat="1" applyFont="1"/>
    <xf numFmtId="164" fontId="0" fillId="0" borderId="0" xfId="0" applyNumberFormat="1"/>
    <xf numFmtId="166" fontId="0" fillId="0" borderId="0" xfId="0" applyNumberFormat="1"/>
    <xf numFmtId="9" fontId="0" fillId="0" borderId="0" xfId="2" applyFont="1"/>
    <xf numFmtId="167" fontId="0" fillId="0" borderId="0" xfId="2" applyNumberFormat="1" applyFont="1"/>
    <xf numFmtId="1" fontId="0" fillId="0" borderId="0" xfId="0" applyNumberFormat="1"/>
    <xf numFmtId="10" fontId="2" fillId="2" borderId="1" xfId="3" applyNumberFormat="1"/>
    <xf numFmtId="164" fontId="2" fillId="2" borderId="1" xfId="3" applyNumberFormat="1"/>
    <xf numFmtId="0" fontId="2" fillId="2" borderId="1" xfId="3"/>
    <xf numFmtId="0" fontId="3" fillId="3" borderId="1" xfId="4"/>
    <xf numFmtId="164" fontId="3" fillId="3" borderId="1" xfId="4" applyNumberFormat="1"/>
    <xf numFmtId="0" fontId="1" fillId="4" borderId="0" xfId="5"/>
    <xf numFmtId="165" fontId="2" fillId="2" borderId="1" xfId="3" applyNumberFormat="1"/>
    <xf numFmtId="9" fontId="2" fillId="2" borderId="1" xfId="3" applyNumberFormat="1"/>
    <xf numFmtId="0" fontId="5" fillId="5" borderId="1" xfId="6" applyBorder="1"/>
    <xf numFmtId="0" fontId="1" fillId="6" borderId="0" xfId="7"/>
    <xf numFmtId="0" fontId="0" fillId="0" borderId="0" xfId="0" applyAlignment="1">
      <alignment horizontal="centerContinuous"/>
    </xf>
    <xf numFmtId="0" fontId="4" fillId="0" borderId="0" xfId="0" applyFont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Continuous"/>
    </xf>
    <xf numFmtId="0" fontId="4" fillId="6" borderId="0" xfId="7" applyFont="1"/>
    <xf numFmtId="0" fontId="4" fillId="6" borderId="0" xfId="7" applyFont="1" applyAlignment="1">
      <alignment horizontal="left"/>
    </xf>
    <xf numFmtId="9" fontId="4" fillId="0" borderId="0" xfId="2" applyFont="1" applyAlignment="1">
      <alignment horizontal="right"/>
    </xf>
    <xf numFmtId="0" fontId="4" fillId="0" borderId="0" xfId="0" applyFont="1" applyAlignment="1">
      <alignment vertical="center" wrapText="1"/>
    </xf>
    <xf numFmtId="9" fontId="2" fillId="2" borderId="1" xfId="2" applyFont="1" applyFill="1" applyBorder="1"/>
  </cellXfs>
  <cellStyles count="8">
    <cellStyle name="20% - Accent3" xfId="7" builtinId="38"/>
    <cellStyle name="40% - Accent1" xfId="5" builtinId="31"/>
    <cellStyle name="Accent3" xfId="6" builtinId="37"/>
    <cellStyle name="Calculation" xfId="4" builtinId="22"/>
    <cellStyle name="Currency" xfId="1" builtinId="4"/>
    <cellStyle name="Input" xfId="3" builtinId="20"/>
    <cellStyle name="Normal" xfId="0" builtinId="0"/>
    <cellStyle name="Percent" xfId="2" builtinId="5"/>
  </cellStyles>
  <dxfs count="3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1ABEC59-A0DA-4119-93AC-F1808DE3AB6E}" name="Table1" displayName="Table1" ref="A2:B41" totalsRowShown="0" dataDxfId="2">
  <autoFilter ref="A2:B41" xr:uid="{E1ABEC59-A0DA-4119-93AC-F1808DE3AB6E}"/>
  <tableColumns count="2">
    <tableColumn id="1" xr3:uid="{9E1282C4-EA1C-4657-A1B9-22D2AA3C8362}" name=" Age" dataDxfId="1"/>
    <tableColumn id="2" xr3:uid="{89818424-37EC-4313-8145-2062CCF81C12}" name="Distribution Period in Years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D41673-9A3B-4201-BBDC-B5AF8D915E8B}" name="Table2" displayName="Table2" ref="E2:I8" totalsRowShown="0">
  <autoFilter ref="E2:I8" xr:uid="{DCD41673-9A3B-4201-BBDC-B5AF8D915E8B}"/>
  <tableColumns count="5">
    <tableColumn id="1" xr3:uid="{4190C669-969A-4FD4-9DDD-90DA32F4E2EE}" name="Pool"/>
    <tableColumn id="2" xr3:uid="{4AC445F3-91A6-499C-8C49-D02E5B1157FC}" name="Bracket"/>
    <tableColumn id="3" xr3:uid="{556946F1-9D64-424A-8DB4-4616A08DA369}" name="Tax Rate" dataCellStyle="Percent"/>
    <tableColumn id="4" xr3:uid="{4A4EF204-8825-425E-B688-CDA3CF7313B2}" name="Amount"/>
    <tableColumn id="5" xr3:uid="{959D4982-4EA8-4CCA-8B4D-40A2B279FE53}" name="Tax Max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7F170-E9DF-4BF5-80D1-A4F6CFAB812F}">
  <dimension ref="A1:AD34"/>
  <sheetViews>
    <sheetView tabSelected="1" workbookViewId="0">
      <selection activeCell="O19" sqref="O19"/>
    </sheetView>
  </sheetViews>
  <sheetFormatPr defaultRowHeight="15" x14ac:dyDescent="0.25"/>
  <cols>
    <col min="1" max="1" width="23.7109375" customWidth="1"/>
    <col min="2" max="2" width="14.28515625" bestFit="1" customWidth="1"/>
    <col min="3" max="3" width="6.28515625" customWidth="1"/>
    <col min="7" max="7" width="11.5703125" bestFit="1" customWidth="1"/>
    <col min="8" max="8" width="11.5703125" customWidth="1"/>
    <col min="9" max="9" width="21.85546875" customWidth="1"/>
    <col min="10" max="10" width="10.28515625" customWidth="1"/>
    <col min="11" max="11" width="16.140625" customWidth="1"/>
    <col min="12" max="12" width="10.28515625" customWidth="1"/>
    <col min="13" max="13" width="14.7109375" customWidth="1"/>
    <col min="14" max="14" width="1.28515625" customWidth="1"/>
    <col min="16" max="16" width="11.5703125" bestFit="1" customWidth="1"/>
    <col min="17" max="17" width="11" customWidth="1"/>
    <col min="18" max="18" width="10.140625" customWidth="1"/>
    <col min="19" max="19" width="17.5703125" hidden="1" customWidth="1"/>
    <col min="20" max="20" width="11.7109375" hidden="1" customWidth="1"/>
    <col min="21" max="21" width="13.7109375" hidden="1" customWidth="1"/>
    <col min="22" max="22" width="18.140625" hidden="1" customWidth="1"/>
    <col min="23" max="23" width="15.7109375" hidden="1" customWidth="1"/>
    <col min="24" max="24" width="13.28515625" hidden="1" customWidth="1"/>
    <col min="26" max="26" width="11" bestFit="1" customWidth="1"/>
    <col min="27" max="27" width="5.140625" customWidth="1"/>
    <col min="28" max="28" width="16.28515625" customWidth="1"/>
    <col min="29" max="29" width="13.42578125" bestFit="1" customWidth="1"/>
    <col min="30" max="30" width="15.7109375" customWidth="1"/>
  </cols>
  <sheetData>
    <row r="1" spans="1:30" x14ac:dyDescent="0.25">
      <c r="A1" s="24" t="s">
        <v>39</v>
      </c>
      <c r="B1" s="19"/>
    </row>
    <row r="2" spans="1:30" x14ac:dyDescent="0.25">
      <c r="A2" s="25" t="s">
        <v>0</v>
      </c>
      <c r="B2" s="19"/>
      <c r="G2" s="23" t="s">
        <v>32</v>
      </c>
      <c r="H2" s="23"/>
      <c r="I2" s="20"/>
      <c r="J2" s="20"/>
      <c r="K2" s="20"/>
      <c r="L2" s="20"/>
      <c r="M2" s="20"/>
      <c r="O2" s="23" t="s">
        <v>16</v>
      </c>
      <c r="P2" s="23"/>
      <c r="Q2" s="23"/>
      <c r="R2" s="23"/>
      <c r="S2" s="23" t="s">
        <v>24</v>
      </c>
      <c r="T2" s="23"/>
      <c r="U2" s="23"/>
      <c r="V2" s="23"/>
      <c r="W2" s="23"/>
      <c r="X2" s="23"/>
      <c r="Y2" s="23"/>
      <c r="Z2" s="23"/>
      <c r="AB2" s="23" t="s">
        <v>34</v>
      </c>
      <c r="AC2" s="23"/>
      <c r="AD2" s="23"/>
    </row>
    <row r="3" spans="1:30" x14ac:dyDescent="0.25">
      <c r="A3" s="19"/>
      <c r="B3" s="19"/>
      <c r="S3">
        <v>1</v>
      </c>
      <c r="T3">
        <v>2</v>
      </c>
      <c r="U3">
        <v>3</v>
      </c>
      <c r="V3">
        <v>4</v>
      </c>
      <c r="W3">
        <v>5</v>
      </c>
      <c r="X3">
        <v>6</v>
      </c>
    </row>
    <row r="4" spans="1:30" x14ac:dyDescent="0.25">
      <c r="A4" s="15" t="s">
        <v>1</v>
      </c>
      <c r="B4" s="10">
        <v>6.6000000000000003E-2</v>
      </c>
      <c r="D4" s="21" t="s">
        <v>2</v>
      </c>
      <c r="E4" s="21" t="s">
        <v>41</v>
      </c>
      <c r="F4" s="21" t="s">
        <v>9</v>
      </c>
      <c r="G4" s="22" t="s">
        <v>14</v>
      </c>
      <c r="H4" s="21" t="s">
        <v>40</v>
      </c>
      <c r="I4" s="21" t="s">
        <v>38</v>
      </c>
      <c r="J4" s="21" t="s">
        <v>3</v>
      </c>
      <c r="K4" s="21" t="s">
        <v>33</v>
      </c>
      <c r="L4" s="21" t="s">
        <v>15</v>
      </c>
      <c r="M4" s="21" t="s">
        <v>17</v>
      </c>
      <c r="O4" s="21" t="s">
        <v>13</v>
      </c>
      <c r="P4" s="21" t="s">
        <v>14</v>
      </c>
      <c r="Q4" s="21" t="s">
        <v>3</v>
      </c>
      <c r="R4" s="21" t="s">
        <v>15</v>
      </c>
      <c r="S4" s="26">
        <f>VLOOKUP(S3,tax_table,3,FALSE)</f>
        <v>0.1</v>
      </c>
      <c r="T4" s="26">
        <f>VLOOKUP(T3,tax_table,3,FALSE)</f>
        <v>0.12</v>
      </c>
      <c r="U4" s="26">
        <f>VLOOKUP(U3,tax_table,3,FALSE)</f>
        <v>0.22</v>
      </c>
      <c r="V4" s="26">
        <f>VLOOKUP(V3,tax_table,3,FALSE)</f>
        <v>0.24</v>
      </c>
      <c r="W4" s="26">
        <f>VLOOKUP(W3,tax_table,3,FALSE)</f>
        <v>0.32</v>
      </c>
      <c r="X4" s="26">
        <f>VLOOKUP(X3,tax_table,3,FALSE)</f>
        <v>0.35</v>
      </c>
      <c r="Y4" s="21" t="s">
        <v>24</v>
      </c>
      <c r="Z4" s="21" t="s">
        <v>20</v>
      </c>
      <c r="AA4" s="22"/>
      <c r="AB4" s="21" t="s">
        <v>35</v>
      </c>
      <c r="AC4" s="21" t="s">
        <v>36</v>
      </c>
      <c r="AD4" s="21" t="s">
        <v>37</v>
      </c>
    </row>
    <row r="5" spans="1:30" x14ac:dyDescent="0.25">
      <c r="A5" s="15" t="s">
        <v>10</v>
      </c>
      <c r="B5" s="10">
        <v>3.5000000000000003E-2</v>
      </c>
      <c r="D5">
        <f>attained_age</f>
        <v>75</v>
      </c>
      <c r="E5">
        <f>start_year</f>
        <v>2023</v>
      </c>
      <c r="F5">
        <f t="shared" ref="F5:F28" si="0">IF(ISERROR(VLOOKUP(D5,RMD_table,2,FALSE)),0,VLOOKUP(D5,RMD_table,2,FALSE))</f>
        <v>24.6</v>
      </c>
      <c r="G5" s="5">
        <f>inital_bal</f>
        <v>1290384.04</v>
      </c>
      <c r="H5" s="28">
        <v>0.5</v>
      </c>
      <c r="I5" s="5">
        <f t="shared" ref="I5:I28" si="1">PMT(geo_return_rate,wd_years,G5,0)/deps_cnt</f>
        <v>-180339.40356131556</v>
      </c>
      <c r="J5" s="4">
        <f>G5/F5</f>
        <v>52454.635772357724</v>
      </c>
      <c r="K5" s="11">
        <v>160000</v>
      </c>
      <c r="L5" s="4">
        <f>ord_income</f>
        <v>10000</v>
      </c>
      <c r="M5" s="5">
        <f>J5+K5+L5</f>
        <v>222454.63577235772</v>
      </c>
      <c r="O5">
        <f>1</f>
        <v>1</v>
      </c>
      <c r="P5" s="5">
        <f>G5*O5</f>
        <v>1290384.04</v>
      </c>
      <c r="Q5" s="5">
        <f>O5*J5</f>
        <v>52454.635772357724</v>
      </c>
      <c r="R5" s="5">
        <f>O5*M5</f>
        <v>222454.63577235772</v>
      </c>
      <c r="S5" s="5">
        <f>MIN(R5,VLOOKUP(S$3,tax_table,4,FALSE))*s_j</f>
        <v>11000</v>
      </c>
      <c r="T5" s="5">
        <f>MIN($R5-SUM($S5:S5),VLOOKUP(T$3,tax_table,4,FALSE))*s_j</f>
        <v>33725</v>
      </c>
      <c r="U5" s="5">
        <f>MIN($R5-SUM($S5:T5),VLOOKUP(U$3,tax_table,4,FALSE))*s_j</f>
        <v>50650</v>
      </c>
      <c r="V5" s="5">
        <f>MIN($R5-SUM($S5:U5),VLOOKUP(V$3,tax_table,4,FALSE))*s_j</f>
        <v>86725</v>
      </c>
      <c r="W5" s="5">
        <f>MIN($R5-SUM($S5:V5),VLOOKUP(W$3,tax_table,4,FALSE))*s_j</f>
        <v>40354.635772357724</v>
      </c>
      <c r="X5" s="5">
        <f>MIN($R5-SUM($S5:W5),VLOOKUP(X$3,tax_table,4,FALSE))*s_j</f>
        <v>0</v>
      </c>
      <c r="Y5" s="5">
        <f>SUMPRODUCT(S5:X5,$S$4:$X$4)</f>
        <v>50017.483447154475</v>
      </c>
      <c r="Z5" s="8">
        <f>Y5/R5</f>
        <v>0.22484352044853928</v>
      </c>
      <c r="AB5" s="3">
        <f>-I5*O5</f>
        <v>180339.40356131556</v>
      </c>
      <c r="AC5" s="5">
        <f t="shared" ref="AC5:AC28" si="2">AB5*dep_tax</f>
        <v>50495.03299716836</v>
      </c>
      <c r="AD5" s="5">
        <f t="shared" ref="AD5:AD28" si="3">AC5*wd_years</f>
        <v>504950.32997168362</v>
      </c>
    </row>
    <row r="6" spans="1:30" x14ac:dyDescent="0.25">
      <c r="A6" s="15" t="s">
        <v>8</v>
      </c>
      <c r="B6" s="11">
        <v>1290384.04</v>
      </c>
      <c r="D6">
        <f>D5+1</f>
        <v>76</v>
      </c>
      <c r="E6">
        <f>+E5+1</f>
        <v>2024</v>
      </c>
      <c r="F6">
        <f t="shared" si="0"/>
        <v>23.7</v>
      </c>
      <c r="G6" s="5">
        <f>G5*(1+IF(ISBLANK(H5),geo_return_rate,H5))-J5-K5</f>
        <v>1723121.4242276424</v>
      </c>
      <c r="H6" s="28">
        <v>0.5</v>
      </c>
      <c r="I6" s="5">
        <f t="shared" si="1"/>
        <v>-240817.21431469164</v>
      </c>
      <c r="J6" s="4">
        <f t="shared" ref="J6:J28" si="4">G6/F6</f>
        <v>72705.545326060863</v>
      </c>
      <c r="K6" s="11">
        <v>160000</v>
      </c>
      <c r="L6" s="4">
        <f>ord_income</f>
        <v>10000</v>
      </c>
      <c r="M6" s="5">
        <f>J6+K6+L6</f>
        <v>242705.54532606085</v>
      </c>
      <c r="O6" s="6">
        <f t="shared" ref="O6:O28" si="5">O5*inf_disc</f>
        <v>0.96618357487922713</v>
      </c>
      <c r="P6" s="5">
        <f t="shared" ref="P6:P28" si="6">G6*O6</f>
        <v>1664851.6176112487</v>
      </c>
      <c r="Q6" s="5">
        <f>O6*J6</f>
        <v>70246.903696677167</v>
      </c>
      <c r="R6" s="5">
        <f>O6*M6</f>
        <v>234498.11142614577</v>
      </c>
      <c r="S6" s="5">
        <f t="shared" ref="S6:S28" si="7">MIN(R6,VLOOKUP(S$3,tax_table,4,FALSE))*s_j</f>
        <v>11000</v>
      </c>
      <c r="T6" s="5">
        <f>MIN($R6-SUM($S6:S6),VLOOKUP(T$3,tax_table,4,FALSE))*s_j</f>
        <v>33725</v>
      </c>
      <c r="U6" s="5">
        <f>MIN($R6-SUM($S6:T6),VLOOKUP(U$3,tax_table,4,FALSE))*s_j</f>
        <v>50650</v>
      </c>
      <c r="V6" s="5">
        <f>MIN($R6-SUM($S6:U6),VLOOKUP(V$3,tax_table,4,FALSE))*s_j</f>
        <v>86725</v>
      </c>
      <c r="W6" s="5">
        <f>MIN($R6-SUM($S6:V6),VLOOKUP(W$3,tax_table,4,FALSE))*s_j</f>
        <v>49150</v>
      </c>
      <c r="X6" s="5">
        <f>MIN($R6-SUM($S6:W6),VLOOKUP(X$3,tax_table,4,FALSE))*s_j</f>
        <v>3248.1114261457697</v>
      </c>
      <c r="Y6" s="5">
        <f t="shared" ref="Y6:Y28" si="8">SUMPRODUCT(S6:X6,$S$4:$X$4)</f>
        <v>53968.838999151019</v>
      </c>
      <c r="Z6" s="8">
        <f>Y6/R6</f>
        <v>0.23014615627788665</v>
      </c>
      <c r="AA6" s="8"/>
      <c r="AB6" s="3">
        <f>-I6*O6</f>
        <v>232673.63701902574</v>
      </c>
      <c r="AC6" s="5">
        <f t="shared" si="2"/>
        <v>65148.618365327216</v>
      </c>
      <c r="AD6" s="5">
        <f t="shared" si="3"/>
        <v>651486.18365327222</v>
      </c>
    </row>
    <row r="7" spans="1:30" x14ac:dyDescent="0.25">
      <c r="A7" s="15" t="s">
        <v>2</v>
      </c>
      <c r="B7" s="12">
        <v>75</v>
      </c>
      <c r="D7">
        <f t="shared" ref="D7:D28" si="9">D6+1</f>
        <v>77</v>
      </c>
      <c r="E7">
        <f t="shared" ref="E7:E28" si="10">+E6+1</f>
        <v>2025</v>
      </c>
      <c r="F7">
        <f t="shared" si="0"/>
        <v>22.9</v>
      </c>
      <c r="G7" s="5">
        <f>G6*(1+IF(ISBLANK(H6),geo_return_rate,H6))-J6-K6</f>
        <v>2351976.5910154027</v>
      </c>
      <c r="H7" s="28">
        <v>0.5</v>
      </c>
      <c r="I7" s="5">
        <f t="shared" si="1"/>
        <v>-328703.73661308916</v>
      </c>
      <c r="J7" s="4">
        <f t="shared" si="4"/>
        <v>102706.4013543844</v>
      </c>
      <c r="K7" s="11">
        <v>160000</v>
      </c>
      <c r="L7" s="4">
        <f t="shared" ref="L7:L28" si="11">L6/inf_disc</f>
        <v>10350</v>
      </c>
      <c r="M7" s="5">
        <f t="shared" ref="M7:M28" si="12">J7+K7+L7</f>
        <v>273056.40135438438</v>
      </c>
      <c r="O7" s="6">
        <f t="shared" si="5"/>
        <v>0.93351070036640305</v>
      </c>
      <c r="P7" s="5">
        <f t="shared" si="6"/>
        <v>2195595.3147241739</v>
      </c>
      <c r="Q7" s="5">
        <f t="shared" ref="Q7:Q28" si="13">O7*J7</f>
        <v>95877.524660444265</v>
      </c>
      <c r="R7" s="5">
        <f t="shared" ref="R7:R28" si="14">O7*M7</f>
        <v>254901.072467861</v>
      </c>
      <c r="S7" s="5">
        <f t="shared" si="7"/>
        <v>11000</v>
      </c>
      <c r="T7" s="5">
        <f>MIN($R7-SUM($S7:S7),VLOOKUP(T$3,tax_table,4,FALSE))*s_j</f>
        <v>33725</v>
      </c>
      <c r="U7" s="5">
        <f>MIN($R7-SUM($S7:T7),VLOOKUP(U$3,tax_table,4,FALSE))*s_j</f>
        <v>50650</v>
      </c>
      <c r="V7" s="5">
        <f>MIN($R7-SUM($S7:U7),VLOOKUP(V$3,tax_table,4,FALSE))*s_j</f>
        <v>86725</v>
      </c>
      <c r="W7" s="5">
        <f>MIN($R7-SUM($S7:V7),VLOOKUP(W$3,tax_table,4,FALSE))*s_j</f>
        <v>49150</v>
      </c>
      <c r="X7" s="5">
        <f>MIN($R7-SUM($S7:W7),VLOOKUP(X$3,tax_table,4,FALSE))*s_j</f>
        <v>23651.072467860999</v>
      </c>
      <c r="Y7" s="5">
        <f t="shared" si="8"/>
        <v>61109.875363751351</v>
      </c>
      <c r="Z7" s="8">
        <f t="shared" ref="Z7:Z28" si="15">Y7/R7</f>
        <v>0.23973957728819026</v>
      </c>
      <c r="AA7" s="8"/>
      <c r="AB7" s="3">
        <f t="shared" ref="AB7:AB28" si="16">-I7*O7</f>
        <v>306848.45537873852</v>
      </c>
      <c r="AC7" s="5">
        <f t="shared" si="2"/>
        <v>85917.567506046791</v>
      </c>
      <c r="AD7" s="5">
        <f t="shared" si="3"/>
        <v>859175.67506046791</v>
      </c>
    </row>
    <row r="8" spans="1:30" x14ac:dyDescent="0.25">
      <c r="A8" s="15" t="s">
        <v>41</v>
      </c>
      <c r="B8" s="12">
        <v>2023</v>
      </c>
      <c r="D8">
        <f t="shared" si="9"/>
        <v>78</v>
      </c>
      <c r="E8">
        <f t="shared" si="10"/>
        <v>2026</v>
      </c>
      <c r="F8">
        <f t="shared" si="0"/>
        <v>22</v>
      </c>
      <c r="G8" s="5">
        <f>G7*(1+IF(ISBLANK(H7),geo_return_rate,H7))-J7-K7</f>
        <v>3265258.4851687197</v>
      </c>
      <c r="H8" s="28">
        <v>-0.1</v>
      </c>
      <c r="I8" s="5">
        <f t="shared" si="1"/>
        <v>-456340.70899454987</v>
      </c>
      <c r="J8" s="4">
        <f t="shared" si="4"/>
        <v>148420.8402349418</v>
      </c>
      <c r="K8" s="11">
        <v>160000</v>
      </c>
      <c r="L8" s="4">
        <f t="shared" si="11"/>
        <v>10712.25</v>
      </c>
      <c r="M8" s="5">
        <f t="shared" si="12"/>
        <v>319133.0902349418</v>
      </c>
      <c r="O8" s="6">
        <f t="shared" si="5"/>
        <v>0.90194270566802237</v>
      </c>
      <c r="P8" s="5">
        <f t="shared" si="6"/>
        <v>2945076.0728185433</v>
      </c>
      <c r="Q8" s="5">
        <f t="shared" si="13"/>
        <v>133867.0942190247</v>
      </c>
      <c r="R8" s="5">
        <f t="shared" si="14"/>
        <v>287839.76287470054</v>
      </c>
      <c r="S8" s="5">
        <f t="shared" si="7"/>
        <v>11000</v>
      </c>
      <c r="T8" s="5">
        <f>MIN($R8-SUM($S8:S8),VLOOKUP(T$3,tax_table,4,FALSE))*s_j</f>
        <v>33725</v>
      </c>
      <c r="U8" s="5">
        <f>MIN($R8-SUM($S8:T8),VLOOKUP(U$3,tax_table,4,FALSE))*s_j</f>
        <v>50650</v>
      </c>
      <c r="V8" s="5">
        <f>MIN($R8-SUM($S8:U8),VLOOKUP(V$3,tax_table,4,FALSE))*s_j</f>
        <v>86725</v>
      </c>
      <c r="W8" s="5">
        <f>MIN($R8-SUM($S8:V8),VLOOKUP(W$3,tax_table,4,FALSE))*s_j</f>
        <v>49150</v>
      </c>
      <c r="X8" s="5">
        <f>MIN($R8-SUM($S8:W8),VLOOKUP(X$3,tax_table,4,FALSE))*s_j</f>
        <v>56589.762874700536</v>
      </c>
      <c r="Y8" s="5">
        <f t="shared" si="8"/>
        <v>72638.417006145188</v>
      </c>
      <c r="Z8" s="8">
        <f t="shared" si="15"/>
        <v>0.25235713190107584</v>
      </c>
      <c r="AA8" s="8"/>
      <c r="AB8" s="3">
        <f t="shared" si="16"/>
        <v>411593.17377700796</v>
      </c>
      <c r="AC8" s="5">
        <f t="shared" si="2"/>
        <v>115246.08865756224</v>
      </c>
      <c r="AD8" s="5">
        <f t="shared" si="3"/>
        <v>1152460.8865756225</v>
      </c>
    </row>
    <row r="9" spans="1:30" x14ac:dyDescent="0.25">
      <c r="A9" s="15" t="s">
        <v>7</v>
      </c>
      <c r="B9" s="13">
        <f>IF(ISERROR(VLOOKUP(attained_age,RMD_table,2,FALSE)),0,VLOOKUP(attained_age,RMD_table,2,FALSE))</f>
        <v>24.6</v>
      </c>
      <c r="D9">
        <f t="shared" si="9"/>
        <v>79</v>
      </c>
      <c r="E9">
        <f t="shared" si="10"/>
        <v>2027</v>
      </c>
      <c r="F9">
        <f t="shared" si="0"/>
        <v>21.1</v>
      </c>
      <c r="G9" s="5">
        <f>G8*(1+IF(ISBLANK(H8),geo_return_rate,H8))-J8-K8</f>
        <v>2630311.7964169062</v>
      </c>
      <c r="H9" s="28"/>
      <c r="I9" s="5">
        <f t="shared" si="1"/>
        <v>-367602.85763152904</v>
      </c>
      <c r="J9" s="4">
        <f t="shared" si="4"/>
        <v>124659.32684440313</v>
      </c>
      <c r="K9" s="11">
        <v>160000</v>
      </c>
      <c r="L9" s="4">
        <f t="shared" si="11"/>
        <v>11087.178749999999</v>
      </c>
      <c r="M9" s="5">
        <f t="shared" si="12"/>
        <v>295746.50559440313</v>
      </c>
      <c r="O9" s="6">
        <f t="shared" si="5"/>
        <v>0.87144222769857238</v>
      </c>
      <c r="P9" s="5">
        <f t="shared" si="6"/>
        <v>2292164.7714113826</v>
      </c>
      <c r="Q9" s="5">
        <f t="shared" si="13"/>
        <v>108633.4014886911</v>
      </c>
      <c r="R9" s="5">
        <f t="shared" si="14"/>
        <v>257725.99366925497</v>
      </c>
      <c r="S9" s="5">
        <f t="shared" si="7"/>
        <v>11000</v>
      </c>
      <c r="T9" s="5">
        <f>MIN($R9-SUM($S9:S9),VLOOKUP(T$3,tax_table,4,FALSE))*s_j</f>
        <v>33725</v>
      </c>
      <c r="U9" s="5">
        <f>MIN($R9-SUM($S9:T9),VLOOKUP(U$3,tax_table,4,FALSE))*s_j</f>
        <v>50650</v>
      </c>
      <c r="V9" s="5">
        <f>MIN($R9-SUM($S9:U9),VLOOKUP(V$3,tax_table,4,FALSE))*s_j</f>
        <v>86725</v>
      </c>
      <c r="W9" s="5">
        <f>MIN($R9-SUM($S9:V9),VLOOKUP(W$3,tax_table,4,FALSE))*s_j</f>
        <v>49150</v>
      </c>
      <c r="X9" s="5">
        <f>MIN($R9-SUM($S9:W9),VLOOKUP(X$3,tax_table,4,FALSE))*s_j</f>
        <v>26475.993669254967</v>
      </c>
      <c r="Y9" s="5">
        <f t="shared" si="8"/>
        <v>62098.597784239239</v>
      </c>
      <c r="Z9" s="8">
        <f t="shared" si="15"/>
        <v>0.24094813604223267</v>
      </c>
      <c r="AA9" s="8"/>
      <c r="AB9" s="3">
        <f t="shared" si="16"/>
        <v>320344.6531627808</v>
      </c>
      <c r="AC9" s="5">
        <f t="shared" si="2"/>
        <v>89696.502885578637</v>
      </c>
      <c r="AD9" s="5">
        <f t="shared" si="3"/>
        <v>896965.02885578643</v>
      </c>
    </row>
    <row r="10" spans="1:30" x14ac:dyDescent="0.25">
      <c r="A10" s="15" t="s">
        <v>3</v>
      </c>
      <c r="B10" s="14">
        <f>IF(ISERROR(inital_bal/RMD_factor),0,inital_bal/RMD_factor)</f>
        <v>52454.635772357724</v>
      </c>
      <c r="D10">
        <f t="shared" si="9"/>
        <v>80</v>
      </c>
      <c r="E10">
        <f t="shared" si="10"/>
        <v>2028</v>
      </c>
      <c r="F10">
        <f t="shared" si="0"/>
        <v>20.2</v>
      </c>
      <c r="G10" s="5">
        <f>G9*(1+IF(ISBLANK(H9),geo_return_rate,H9))-J9-K9</f>
        <v>2519253.0481360191</v>
      </c>
      <c r="H10" s="28"/>
      <c r="I10" s="5">
        <f t="shared" si="1"/>
        <v>-352081.68889075523</v>
      </c>
      <c r="J10" s="4">
        <f t="shared" si="4"/>
        <v>124715.4974324762</v>
      </c>
      <c r="K10" s="11">
        <v>160000</v>
      </c>
      <c r="L10" s="4">
        <f t="shared" si="11"/>
        <v>11475.230006249998</v>
      </c>
      <c r="M10" s="5">
        <f t="shared" si="12"/>
        <v>296190.72743872617</v>
      </c>
      <c r="O10" s="6">
        <f t="shared" si="5"/>
        <v>0.84197316685852408</v>
      </c>
      <c r="P10" s="5">
        <f t="shared" si="6"/>
        <v>2121143.467057074</v>
      </c>
      <c r="Q10" s="5">
        <f t="shared" si="13"/>
        <v>105007.10232955811</v>
      </c>
      <c r="R10" s="5">
        <f t="shared" si="14"/>
        <v>249384.64477571423</v>
      </c>
      <c r="S10" s="5">
        <f t="shared" si="7"/>
        <v>11000</v>
      </c>
      <c r="T10" s="5">
        <f>MIN($R10-SUM($S10:S10),VLOOKUP(T$3,tax_table,4,FALSE))*s_j</f>
        <v>33725</v>
      </c>
      <c r="U10" s="5">
        <f>MIN($R10-SUM($S10:T10),VLOOKUP(U$3,tax_table,4,FALSE))*s_j</f>
        <v>50650</v>
      </c>
      <c r="V10" s="5">
        <f>MIN($R10-SUM($S10:U10),VLOOKUP(V$3,tax_table,4,FALSE))*s_j</f>
        <v>86725</v>
      </c>
      <c r="W10" s="5">
        <f>MIN($R10-SUM($S10:V10),VLOOKUP(W$3,tax_table,4,FALSE))*s_j</f>
        <v>49150</v>
      </c>
      <c r="X10" s="5">
        <f>MIN($R10-SUM($S10:W10),VLOOKUP(X$3,tax_table,4,FALSE))*s_j</f>
        <v>18134.64477571423</v>
      </c>
      <c r="Y10" s="5">
        <f t="shared" si="8"/>
        <v>59179.125671499976</v>
      </c>
      <c r="Z10" s="8">
        <f t="shared" si="15"/>
        <v>0.23730059934012027</v>
      </c>
      <c r="AA10" s="8"/>
      <c r="AB10" s="3">
        <f t="shared" si="16"/>
        <v>296443.33458824683</v>
      </c>
      <c r="AC10" s="5">
        <f t="shared" si="2"/>
        <v>83004.133684709115</v>
      </c>
      <c r="AD10" s="5">
        <f t="shared" si="3"/>
        <v>830041.33684709109</v>
      </c>
    </row>
    <row r="11" spans="1:30" x14ac:dyDescent="0.25">
      <c r="A11" s="19"/>
      <c r="B11" s="19"/>
      <c r="D11">
        <f t="shared" si="9"/>
        <v>81</v>
      </c>
      <c r="E11">
        <f t="shared" si="10"/>
        <v>2029</v>
      </c>
      <c r="F11">
        <f t="shared" si="0"/>
        <v>19.399999999999999</v>
      </c>
      <c r="G11" s="5">
        <f>G10*(1+IF(ISBLANK(H10),geo_return_rate,H10))-J10-K10</f>
        <v>2400808.25188052</v>
      </c>
      <c r="H11" s="28"/>
      <c r="I11" s="5">
        <f t="shared" si="1"/>
        <v>-335528.27281498117</v>
      </c>
      <c r="J11" s="4">
        <f t="shared" si="4"/>
        <v>123753.00267425361</v>
      </c>
      <c r="K11" s="11">
        <v>160000</v>
      </c>
      <c r="L11" s="4">
        <f t="shared" si="11"/>
        <v>11876.863056468746</v>
      </c>
      <c r="M11" s="5">
        <f t="shared" si="12"/>
        <v>295629.86573072232</v>
      </c>
      <c r="O11" s="6">
        <f t="shared" si="5"/>
        <v>0.81350064430775282</v>
      </c>
      <c r="P11" s="5">
        <f t="shared" si="6"/>
        <v>1953059.0597641726</v>
      </c>
      <c r="Q11" s="5">
        <f t="shared" si="13"/>
        <v>100673.14741052437</v>
      </c>
      <c r="R11" s="5">
        <f t="shared" si="14"/>
        <v>240495.08624855705</v>
      </c>
      <c r="S11" s="5">
        <f t="shared" si="7"/>
        <v>11000</v>
      </c>
      <c r="T11" s="5">
        <f>MIN($R11-SUM($S11:S11),VLOOKUP(T$3,tax_table,4,FALSE))*s_j</f>
        <v>33725</v>
      </c>
      <c r="U11" s="5">
        <f>MIN($R11-SUM($S11:T11),VLOOKUP(U$3,tax_table,4,FALSE))*s_j</f>
        <v>50650</v>
      </c>
      <c r="V11" s="5">
        <f>MIN($R11-SUM($S11:U11),VLOOKUP(V$3,tax_table,4,FALSE))*s_j</f>
        <v>86725</v>
      </c>
      <c r="W11" s="5">
        <f>MIN($R11-SUM($S11:V11),VLOOKUP(W$3,tax_table,4,FALSE))*s_j</f>
        <v>49150</v>
      </c>
      <c r="X11" s="5">
        <f>MIN($R11-SUM($S11:W11),VLOOKUP(X$3,tax_table,4,FALSE))*s_j</f>
        <v>9245.0862485570542</v>
      </c>
      <c r="Y11" s="5">
        <f t="shared" si="8"/>
        <v>56067.780186994969</v>
      </c>
      <c r="Z11" s="8">
        <f t="shared" si="15"/>
        <v>0.23313482641823152</v>
      </c>
      <c r="AA11" s="8"/>
      <c r="AB11" s="3">
        <f t="shared" si="16"/>
        <v>272952.46611845464</v>
      </c>
      <c r="AC11" s="5">
        <f t="shared" si="2"/>
        <v>76426.690513167312</v>
      </c>
      <c r="AD11" s="5">
        <f t="shared" si="3"/>
        <v>764266.90513167309</v>
      </c>
    </row>
    <row r="12" spans="1:30" x14ac:dyDescent="0.25">
      <c r="A12" s="15" t="s">
        <v>30</v>
      </c>
      <c r="B12" s="11">
        <v>10000</v>
      </c>
      <c r="D12">
        <f t="shared" si="9"/>
        <v>82</v>
      </c>
      <c r="E12">
        <f t="shared" si="10"/>
        <v>2030</v>
      </c>
      <c r="F12">
        <f t="shared" si="0"/>
        <v>18.5</v>
      </c>
      <c r="G12" s="5">
        <f>G11*(1+IF(ISBLANK(H11),geo_return_rate,H11))-J11-K11</f>
        <v>2275508.5938303811</v>
      </c>
      <c r="H12" s="28"/>
      <c r="I12" s="5">
        <f t="shared" si="1"/>
        <v>-318016.84606236976</v>
      </c>
      <c r="J12" s="4">
        <f t="shared" si="4"/>
        <v>123000.46453137195</v>
      </c>
      <c r="K12" s="11">
        <v>160000</v>
      </c>
      <c r="L12" s="4">
        <f t="shared" si="11"/>
        <v>12292.553263445152</v>
      </c>
      <c r="M12" s="5">
        <f t="shared" si="12"/>
        <v>295293.0177948171</v>
      </c>
      <c r="O12" s="6">
        <f t="shared" si="5"/>
        <v>0.78599096068381924</v>
      </c>
      <c r="P12" s="5">
        <f t="shared" si="6"/>
        <v>1788529.1857090278</v>
      </c>
      <c r="Q12" s="5">
        <f t="shared" si="13"/>
        <v>96677.253281569079</v>
      </c>
      <c r="R12" s="5">
        <f t="shared" si="14"/>
        <v>232097.64273977242</v>
      </c>
      <c r="S12" s="5">
        <f t="shared" si="7"/>
        <v>11000</v>
      </c>
      <c r="T12" s="5">
        <f>MIN($R12-SUM($S12:S12),VLOOKUP(T$3,tax_table,4,FALSE))*s_j</f>
        <v>33725</v>
      </c>
      <c r="U12" s="5">
        <f>MIN($R12-SUM($S12:T12),VLOOKUP(U$3,tax_table,4,FALSE))*s_j</f>
        <v>50650</v>
      </c>
      <c r="V12" s="5">
        <f>MIN($R12-SUM($S12:U12),VLOOKUP(V$3,tax_table,4,FALSE))*s_j</f>
        <v>86725</v>
      </c>
      <c r="W12" s="5">
        <f>MIN($R12-SUM($S12:V12),VLOOKUP(W$3,tax_table,4,FALSE))*s_j</f>
        <v>49150</v>
      </c>
      <c r="X12" s="5">
        <f>MIN($R12-SUM($S12:W12),VLOOKUP(X$3,tax_table,4,FALSE))*s_j</f>
        <v>847.64273977241828</v>
      </c>
      <c r="Y12" s="5">
        <f t="shared" si="8"/>
        <v>53128.674958920346</v>
      </c>
      <c r="Z12" s="8">
        <f t="shared" si="15"/>
        <v>0.22890656851042709</v>
      </c>
      <c r="AA12" s="8"/>
      <c r="AB12" s="3">
        <f t="shared" si="16"/>
        <v>249958.36635020026</v>
      </c>
      <c r="AC12" s="5">
        <f t="shared" si="2"/>
        <v>69988.342578056079</v>
      </c>
      <c r="AD12" s="5">
        <f t="shared" si="3"/>
        <v>699883.42578056082</v>
      </c>
    </row>
    <row r="13" spans="1:30" x14ac:dyDescent="0.25">
      <c r="A13" s="15" t="s">
        <v>31</v>
      </c>
      <c r="B13" s="11"/>
      <c r="D13">
        <f t="shared" si="9"/>
        <v>83</v>
      </c>
      <c r="E13">
        <f t="shared" si="10"/>
        <v>2031</v>
      </c>
      <c r="F13">
        <f t="shared" si="0"/>
        <v>17.7</v>
      </c>
      <c r="G13" s="5">
        <f>G12*(1+IF(ISBLANK(H12),geo_return_rate,H12))-J12-K12</f>
        <v>2142691.6964918147</v>
      </c>
      <c r="H13" s="28"/>
      <c r="I13" s="5">
        <f t="shared" si="1"/>
        <v>-299454.83715151751</v>
      </c>
      <c r="J13" s="4">
        <f t="shared" si="4"/>
        <v>121056.02805038501</v>
      </c>
      <c r="K13" s="11">
        <v>160000</v>
      </c>
      <c r="L13" s="4">
        <f t="shared" si="11"/>
        <v>12722.792627665731</v>
      </c>
      <c r="M13" s="5">
        <f t="shared" si="12"/>
        <v>293778.82067805075</v>
      </c>
      <c r="O13" s="6">
        <f t="shared" si="5"/>
        <v>0.75941155621625056</v>
      </c>
      <c r="P13" s="5">
        <f t="shared" si="6"/>
        <v>1627184.835724487</v>
      </c>
      <c r="Q13" s="5">
        <f t="shared" si="13"/>
        <v>91931.346651100961</v>
      </c>
      <c r="R13" s="5">
        <f t="shared" si="14"/>
        <v>223099.03139449333</v>
      </c>
      <c r="S13" s="5">
        <f t="shared" si="7"/>
        <v>11000</v>
      </c>
      <c r="T13" s="5">
        <f>MIN($R13-SUM($S13:S13),VLOOKUP(T$3,tax_table,4,FALSE))*s_j</f>
        <v>33725</v>
      </c>
      <c r="U13" s="5">
        <f>MIN($R13-SUM($S13:T13),VLOOKUP(U$3,tax_table,4,FALSE))*s_j</f>
        <v>50650</v>
      </c>
      <c r="V13" s="5">
        <f>MIN($R13-SUM($S13:U13),VLOOKUP(V$3,tax_table,4,FALSE))*s_j</f>
        <v>86725</v>
      </c>
      <c r="W13" s="5">
        <f>MIN($R13-SUM($S13:V13),VLOOKUP(W$3,tax_table,4,FALSE))*s_j</f>
        <v>40999.03139449333</v>
      </c>
      <c r="X13" s="5">
        <f>MIN($R13-SUM($S13:W13),VLOOKUP(X$3,tax_table,4,FALSE))*s_j</f>
        <v>0</v>
      </c>
      <c r="Y13" s="5">
        <f t="shared" si="8"/>
        <v>50223.690046237869</v>
      </c>
      <c r="Z13" s="8">
        <f t="shared" si="15"/>
        <v>0.22511836888000725</v>
      </c>
      <c r="AA13" s="8"/>
      <c r="AB13" s="3">
        <f t="shared" si="16"/>
        <v>227409.4638977178</v>
      </c>
      <c r="AC13" s="5">
        <f t="shared" si="2"/>
        <v>63674.64989136099</v>
      </c>
      <c r="AD13" s="5">
        <f t="shared" si="3"/>
        <v>636746.49891360989</v>
      </c>
    </row>
    <row r="14" spans="1:30" x14ac:dyDescent="0.25">
      <c r="A14" s="15" t="s">
        <v>25</v>
      </c>
      <c r="B14" s="14">
        <f>B12+B13</f>
        <v>10000</v>
      </c>
      <c r="D14">
        <f t="shared" si="9"/>
        <v>84</v>
      </c>
      <c r="E14">
        <f t="shared" si="10"/>
        <v>2032</v>
      </c>
      <c r="F14">
        <f t="shared" si="0"/>
        <v>16.8</v>
      </c>
      <c r="G14" s="5">
        <f>G13*(1+IF(ISBLANK(H13),geo_return_rate,H13))-J13-K13</f>
        <v>2003053.3204098898</v>
      </c>
      <c r="H14" s="28"/>
      <c r="I14" s="5">
        <f t="shared" si="1"/>
        <v>-279939.48305826238</v>
      </c>
      <c r="J14" s="4">
        <f t="shared" si="4"/>
        <v>119229.36431011248</v>
      </c>
      <c r="K14" s="11">
        <v>160000</v>
      </c>
      <c r="L14" s="4">
        <f t="shared" si="11"/>
        <v>13168.09036963403</v>
      </c>
      <c r="M14" s="5">
        <f t="shared" si="12"/>
        <v>292397.45467974653</v>
      </c>
      <c r="O14" s="6">
        <f t="shared" si="5"/>
        <v>0.73373097218961414</v>
      </c>
      <c r="P14" s="5">
        <f t="shared" si="6"/>
        <v>1469702.2601319831</v>
      </c>
      <c r="Q14" s="5">
        <f t="shared" si="13"/>
        <v>87482.277388808507</v>
      </c>
      <c r="R14" s="5">
        <f t="shared" si="14"/>
        <v>214541.06868793906</v>
      </c>
      <c r="S14" s="5">
        <f t="shared" si="7"/>
        <v>11000</v>
      </c>
      <c r="T14" s="5">
        <f>MIN($R14-SUM($S14:S14),VLOOKUP(T$3,tax_table,4,FALSE))*s_j</f>
        <v>33725</v>
      </c>
      <c r="U14" s="5">
        <f>MIN($R14-SUM($S14:T14),VLOOKUP(U$3,tax_table,4,FALSE))*s_j</f>
        <v>50650</v>
      </c>
      <c r="V14" s="5">
        <f>MIN($R14-SUM($S14:U14),VLOOKUP(V$3,tax_table,4,FALSE))*s_j</f>
        <v>86725</v>
      </c>
      <c r="W14" s="5">
        <f>MIN($R14-SUM($S14:V14),VLOOKUP(W$3,tax_table,4,FALSE))*s_j</f>
        <v>32441.068687939056</v>
      </c>
      <c r="X14" s="5">
        <f>MIN($R14-SUM($S14:W14),VLOOKUP(X$3,tax_table,4,FALSE))*s_j</f>
        <v>0</v>
      </c>
      <c r="Y14" s="5">
        <f t="shared" si="8"/>
        <v>47485.141980140499</v>
      </c>
      <c r="Z14" s="8">
        <f t="shared" si="15"/>
        <v>0.22133357622642433</v>
      </c>
      <c r="AA14" s="8"/>
      <c r="AB14" s="3">
        <f t="shared" si="16"/>
        <v>205400.26905859687</v>
      </c>
      <c r="AC14" s="5">
        <f t="shared" si="2"/>
        <v>57512.075336407128</v>
      </c>
      <c r="AD14" s="5">
        <f t="shared" si="3"/>
        <v>575120.75336407125</v>
      </c>
    </row>
    <row r="15" spans="1:30" x14ac:dyDescent="0.25">
      <c r="A15" s="19"/>
      <c r="B15" s="19"/>
      <c r="D15">
        <f t="shared" si="9"/>
        <v>85</v>
      </c>
      <c r="E15">
        <f t="shared" si="10"/>
        <v>2033</v>
      </c>
      <c r="F15">
        <f t="shared" si="0"/>
        <v>16</v>
      </c>
      <c r="G15" s="5">
        <f>G14*(1+IF(ISBLANK(H14),geo_return_rate,H14))-J14-K14</f>
        <v>1856025.4752468301</v>
      </c>
      <c r="H15" s="28"/>
      <c r="I15" s="5">
        <f t="shared" si="1"/>
        <v>-259391.40350854042</v>
      </c>
      <c r="J15" s="4">
        <f t="shared" si="4"/>
        <v>116001.59220292688</v>
      </c>
      <c r="K15" s="11">
        <v>160000</v>
      </c>
      <c r="L15" s="4">
        <f t="shared" si="11"/>
        <v>13628.973532571221</v>
      </c>
      <c r="M15" s="5">
        <f t="shared" si="12"/>
        <v>289630.56573549809</v>
      </c>
      <c r="O15" s="6">
        <f t="shared" si="5"/>
        <v>0.70891881370977217</v>
      </c>
      <c r="P15" s="5">
        <f t="shared" si="6"/>
        <v>1315771.378127099</v>
      </c>
      <c r="Q15" s="5">
        <f t="shared" si="13"/>
        <v>82235.711132943688</v>
      </c>
      <c r="R15" s="5">
        <f t="shared" si="14"/>
        <v>205324.5570752995</v>
      </c>
      <c r="S15" s="5">
        <f t="shared" si="7"/>
        <v>11000</v>
      </c>
      <c r="T15" s="5">
        <f>MIN($R15-SUM($S15:S15),VLOOKUP(T$3,tax_table,4,FALSE))*s_j</f>
        <v>33725</v>
      </c>
      <c r="U15" s="5">
        <f>MIN($R15-SUM($S15:T15),VLOOKUP(U$3,tax_table,4,FALSE))*s_j</f>
        <v>50650</v>
      </c>
      <c r="V15" s="5">
        <f>MIN($R15-SUM($S15:U15),VLOOKUP(V$3,tax_table,4,FALSE))*s_j</f>
        <v>86725</v>
      </c>
      <c r="W15" s="5">
        <f>MIN($R15-SUM($S15:V15),VLOOKUP(W$3,tax_table,4,FALSE))*s_j</f>
        <v>23224.557075299497</v>
      </c>
      <c r="X15" s="5">
        <f>MIN($R15-SUM($S15:W15),VLOOKUP(X$3,tax_table,4,FALSE))*s_j</f>
        <v>0</v>
      </c>
      <c r="Y15" s="5">
        <f t="shared" si="8"/>
        <v>44535.858264095841</v>
      </c>
      <c r="Z15" s="8">
        <f t="shared" si="15"/>
        <v>0.2169046844589711</v>
      </c>
      <c r="AA15" s="8"/>
      <c r="AB15" s="3">
        <f t="shared" si="16"/>
        <v>183887.44606178731</v>
      </c>
      <c r="AC15" s="5">
        <f t="shared" si="2"/>
        <v>51488.484897300455</v>
      </c>
      <c r="AD15" s="5">
        <f t="shared" si="3"/>
        <v>514884.84897300455</v>
      </c>
    </row>
    <row r="16" spans="1:30" x14ac:dyDescent="0.25">
      <c r="A16" s="15" t="s">
        <v>11</v>
      </c>
      <c r="B16" s="16">
        <f>1/(1+inflation)</f>
        <v>0.96618357487922713</v>
      </c>
      <c r="D16">
        <f t="shared" si="9"/>
        <v>86</v>
      </c>
      <c r="E16">
        <f t="shared" si="10"/>
        <v>2034</v>
      </c>
      <c r="F16">
        <f t="shared" si="0"/>
        <v>15.2</v>
      </c>
      <c r="G16" s="5">
        <f>G15*(1+IF(ISBLANK(H15),geo_return_rate,H15))-J15-K15</f>
        <v>1702521.5644101941</v>
      </c>
      <c r="H16" s="28"/>
      <c r="I16" s="5">
        <f t="shared" si="1"/>
        <v>-237938.25245700672</v>
      </c>
      <c r="J16" s="4">
        <f t="shared" si="4"/>
        <v>112007.99765856541</v>
      </c>
      <c r="K16" s="11"/>
      <c r="L16" s="4">
        <f t="shared" si="11"/>
        <v>14105.987606211213</v>
      </c>
      <c r="M16" s="5">
        <f t="shared" si="12"/>
        <v>126113.98526477662</v>
      </c>
      <c r="O16" s="6">
        <f t="shared" si="5"/>
        <v>0.68494571372924851</v>
      </c>
      <c r="P16" s="5">
        <f t="shared" si="6"/>
        <v>1166134.848074377</v>
      </c>
      <c r="Q16" s="5">
        <f t="shared" si="13"/>
        <v>76719.397899630072</v>
      </c>
      <c r="R16" s="5">
        <f t="shared" si="14"/>
        <v>86381.233648422349</v>
      </c>
      <c r="S16" s="5">
        <f t="shared" si="7"/>
        <v>11000</v>
      </c>
      <c r="T16" s="5">
        <f>MIN($R16-SUM($S16:S16),VLOOKUP(T$3,tax_table,4,FALSE))*s_j</f>
        <v>33725</v>
      </c>
      <c r="U16" s="5">
        <f>MIN($R16-SUM($S16:T16),VLOOKUP(U$3,tax_table,4,FALSE))*s_j</f>
        <v>41656.233648422349</v>
      </c>
      <c r="V16" s="5">
        <f>MIN($R16-SUM($S16:U16),VLOOKUP(V$3,tax_table,4,FALSE))*s_j</f>
        <v>0</v>
      </c>
      <c r="W16" s="5">
        <f>MIN($R16-SUM($S16:V16),VLOOKUP(W$3,tax_table,4,FALSE))*s_j</f>
        <v>0</v>
      </c>
      <c r="X16" s="5">
        <f>MIN($R16-SUM($S16:W16),VLOOKUP(X$3,tax_table,4,FALSE))*s_j</f>
        <v>0</v>
      </c>
      <c r="Y16" s="5">
        <f t="shared" si="8"/>
        <v>14311.371402652916</v>
      </c>
      <c r="Z16" s="8">
        <f t="shared" si="15"/>
        <v>0.16567685825026759</v>
      </c>
      <c r="AA16" s="8"/>
      <c r="AB16" s="3">
        <f t="shared" si="16"/>
        <v>162974.78615265459</v>
      </c>
      <c r="AC16" s="5">
        <f t="shared" si="2"/>
        <v>45632.94012274329</v>
      </c>
      <c r="AD16" s="5">
        <f t="shared" si="3"/>
        <v>456329.40122743289</v>
      </c>
    </row>
    <row r="17" spans="1:30" x14ac:dyDescent="0.25">
      <c r="A17" s="15" t="s">
        <v>12</v>
      </c>
      <c r="B17" s="16">
        <f>1/(1+geo_return_rate)</f>
        <v>0.9380863039399624</v>
      </c>
      <c r="D17">
        <f t="shared" si="9"/>
        <v>87</v>
      </c>
      <c r="E17">
        <f t="shared" si="10"/>
        <v>2035</v>
      </c>
      <c r="F17">
        <f t="shared" si="0"/>
        <v>14.4</v>
      </c>
      <c r="G17" s="5">
        <f>G16*(1+IF(ISBLANK(H16),geo_return_rate,H16))-J16-K16</f>
        <v>1702879.9900027015</v>
      </c>
      <c r="H17" s="28"/>
      <c r="I17" s="5">
        <f t="shared" si="1"/>
        <v>-237988.3447206819</v>
      </c>
      <c r="J17" s="4">
        <f t="shared" si="4"/>
        <v>118255.55486129872</v>
      </c>
      <c r="K17" s="11"/>
      <c r="L17" s="4">
        <f t="shared" si="11"/>
        <v>14599.697172428603</v>
      </c>
      <c r="M17" s="5">
        <f t="shared" si="12"/>
        <v>132855.25203372733</v>
      </c>
      <c r="O17" s="6">
        <f t="shared" si="5"/>
        <v>0.66178329828912907</v>
      </c>
      <c r="P17" s="5">
        <f t="shared" si="6"/>
        <v>1126937.5363745471</v>
      </c>
      <c r="Q17" s="5">
        <f t="shared" si="13"/>
        <v>78259.551137121322</v>
      </c>
      <c r="R17" s="5">
        <f t="shared" si="14"/>
        <v>87921.386885913598</v>
      </c>
      <c r="S17" s="5">
        <f t="shared" si="7"/>
        <v>11000</v>
      </c>
      <c r="T17" s="5">
        <f>MIN($R17-SUM($S17:S17),VLOOKUP(T$3,tax_table,4,FALSE))*s_j</f>
        <v>33725</v>
      </c>
      <c r="U17" s="5">
        <f>MIN($R17-SUM($S17:T17),VLOOKUP(U$3,tax_table,4,FALSE))*s_j</f>
        <v>43196.386885913598</v>
      </c>
      <c r="V17" s="5">
        <f>MIN($R17-SUM($S17:U17),VLOOKUP(V$3,tax_table,4,FALSE))*s_j</f>
        <v>0</v>
      </c>
      <c r="W17" s="5">
        <f>MIN($R17-SUM($S17:V17),VLOOKUP(W$3,tax_table,4,FALSE))*s_j</f>
        <v>0</v>
      </c>
      <c r="X17" s="5">
        <f>MIN($R17-SUM($S17:W17),VLOOKUP(X$3,tax_table,4,FALSE))*s_j</f>
        <v>0</v>
      </c>
      <c r="Y17" s="5">
        <f t="shared" si="8"/>
        <v>14650.205114900991</v>
      </c>
      <c r="Z17" s="8">
        <f t="shared" si="15"/>
        <v>0.16662845791901615</v>
      </c>
      <c r="AA17" s="8"/>
      <c r="AB17" s="3">
        <f t="shared" si="16"/>
        <v>157496.7117236231</v>
      </c>
      <c r="AC17" s="5">
        <f t="shared" si="2"/>
        <v>44099.079282614475</v>
      </c>
      <c r="AD17" s="5">
        <f t="shared" si="3"/>
        <v>440990.79282614472</v>
      </c>
    </row>
    <row r="18" spans="1:30" x14ac:dyDescent="0.25">
      <c r="A18" s="19"/>
      <c r="B18" s="19"/>
      <c r="D18">
        <f t="shared" si="9"/>
        <v>88</v>
      </c>
      <c r="E18">
        <f t="shared" si="10"/>
        <v>2036</v>
      </c>
      <c r="F18">
        <f t="shared" si="0"/>
        <v>13.7</v>
      </c>
      <c r="G18" s="5">
        <f>G17*(1+IF(ISBLANK(H17),geo_return_rate,H17))-J17-K17</f>
        <v>1697014.514481581</v>
      </c>
      <c r="H18" s="28"/>
      <c r="I18" s="5">
        <f t="shared" si="1"/>
        <v>-237168.60708886621</v>
      </c>
      <c r="J18" s="4">
        <f t="shared" si="4"/>
        <v>123869.67258989644</v>
      </c>
      <c r="K18" s="11"/>
      <c r="L18" s="4">
        <f t="shared" si="11"/>
        <v>15110.686573463603</v>
      </c>
      <c r="M18" s="5">
        <f t="shared" si="12"/>
        <v>138980.35916336003</v>
      </c>
      <c r="O18" s="6">
        <f t="shared" si="5"/>
        <v>0.63940415293635666</v>
      </c>
      <c r="P18" s="5">
        <f t="shared" si="6"/>
        <v>1085078.1281527979</v>
      </c>
      <c r="Q18" s="5">
        <f t="shared" si="13"/>
        <v>79202.783076846565</v>
      </c>
      <c r="R18" s="5">
        <f t="shared" si="14"/>
        <v>88864.618825638841</v>
      </c>
      <c r="S18" s="5">
        <f t="shared" si="7"/>
        <v>11000</v>
      </c>
      <c r="T18" s="5">
        <f>MIN($R18-SUM($S18:S18),VLOOKUP(T$3,tax_table,4,FALSE))*s_j</f>
        <v>33725</v>
      </c>
      <c r="U18" s="5">
        <f>MIN($R18-SUM($S18:T18),VLOOKUP(U$3,tax_table,4,FALSE))*s_j</f>
        <v>44139.618825638841</v>
      </c>
      <c r="V18" s="5">
        <f>MIN($R18-SUM($S18:U18),VLOOKUP(V$3,tax_table,4,FALSE))*s_j</f>
        <v>0</v>
      </c>
      <c r="W18" s="5">
        <f>MIN($R18-SUM($S18:V18),VLOOKUP(W$3,tax_table,4,FALSE))*s_j</f>
        <v>0</v>
      </c>
      <c r="X18" s="5">
        <f>MIN($R18-SUM($S18:W18),VLOOKUP(X$3,tax_table,4,FALSE))*s_j</f>
        <v>0</v>
      </c>
      <c r="Y18" s="5">
        <f t="shared" si="8"/>
        <v>14857.716141640545</v>
      </c>
      <c r="Z18" s="8">
        <f t="shared" si="15"/>
        <v>0.16719495720555388</v>
      </c>
      <c r="AA18" s="8"/>
      <c r="AB18" s="3">
        <f t="shared" si="16"/>
        <v>151646.59231875208</v>
      </c>
      <c r="AC18" s="5">
        <f t="shared" si="2"/>
        <v>42461.045849250586</v>
      </c>
      <c r="AD18" s="5">
        <f t="shared" si="3"/>
        <v>424610.45849250583</v>
      </c>
    </row>
    <row r="19" spans="1:30" x14ac:dyDescent="0.25">
      <c r="A19" s="15" t="s">
        <v>26</v>
      </c>
      <c r="B19" s="12">
        <v>10</v>
      </c>
      <c r="D19">
        <f t="shared" si="9"/>
        <v>89</v>
      </c>
      <c r="E19">
        <f t="shared" si="10"/>
        <v>2037</v>
      </c>
      <c r="F19">
        <f t="shared" si="0"/>
        <v>12.9</v>
      </c>
      <c r="G19" s="5">
        <f>G18*(1+IF(ISBLANK(H18),geo_return_rate,H18))-J18-K18</f>
        <v>1685147.799847469</v>
      </c>
      <c r="H19" s="28"/>
      <c r="I19" s="5">
        <f t="shared" si="1"/>
        <v>-235510.15799696013</v>
      </c>
      <c r="J19" s="4">
        <f t="shared" si="4"/>
        <v>130631.61239127666</v>
      </c>
      <c r="K19" s="11"/>
      <c r="L19" s="4">
        <f t="shared" si="11"/>
        <v>15639.560603534828</v>
      </c>
      <c r="M19" s="5">
        <f t="shared" si="12"/>
        <v>146271.1729948115</v>
      </c>
      <c r="O19" s="6">
        <f t="shared" si="5"/>
        <v>0.61778179027667313</v>
      </c>
      <c r="P19" s="5">
        <f t="shared" si="6"/>
        <v>1041053.6246705662</v>
      </c>
      <c r="Q19" s="5">
        <f t="shared" si="13"/>
        <v>80701.831369811334</v>
      </c>
      <c r="R19" s="5">
        <f t="shared" si="14"/>
        <v>90363.667118603611</v>
      </c>
      <c r="S19" s="5">
        <f t="shared" si="7"/>
        <v>11000</v>
      </c>
      <c r="T19" s="5">
        <f>MIN($R19-SUM($S19:S19),VLOOKUP(T$3,tax_table,4,FALSE))*s_j</f>
        <v>33725</v>
      </c>
      <c r="U19" s="5">
        <f>MIN($R19-SUM($S19:T19),VLOOKUP(U$3,tax_table,4,FALSE))*s_j</f>
        <v>45638.667118603611</v>
      </c>
      <c r="V19" s="5">
        <f>MIN($R19-SUM($S19:U19),VLOOKUP(V$3,tax_table,4,FALSE))*s_j</f>
        <v>0</v>
      </c>
      <c r="W19" s="5">
        <f>MIN($R19-SUM($S19:V19),VLOOKUP(W$3,tax_table,4,FALSE))*s_j</f>
        <v>0</v>
      </c>
      <c r="X19" s="5">
        <f>MIN($R19-SUM($S19:W19),VLOOKUP(X$3,tax_table,4,FALSE))*s_j</f>
        <v>0</v>
      </c>
      <c r="Y19" s="5">
        <f t="shared" si="8"/>
        <v>15187.506766092794</v>
      </c>
      <c r="Z19" s="8">
        <f t="shared" si="15"/>
        <v>0.16807094322720406</v>
      </c>
      <c r="AA19" s="8"/>
      <c r="AB19" s="3">
        <f t="shared" si="16"/>
        <v>145493.88703570419</v>
      </c>
      <c r="AC19" s="5">
        <f t="shared" si="2"/>
        <v>40738.288369997179</v>
      </c>
      <c r="AD19" s="5">
        <f t="shared" si="3"/>
        <v>407382.88369997178</v>
      </c>
    </row>
    <row r="20" spans="1:30" x14ac:dyDescent="0.25">
      <c r="A20" s="15" t="s">
        <v>27</v>
      </c>
      <c r="B20" s="12">
        <v>1</v>
      </c>
      <c r="D20">
        <f t="shared" si="9"/>
        <v>90</v>
      </c>
      <c r="E20">
        <f t="shared" si="10"/>
        <v>2038</v>
      </c>
      <c r="F20">
        <f t="shared" si="0"/>
        <v>12.2</v>
      </c>
      <c r="G20" s="5">
        <f>G19*(1+IF(ISBLANK(H19),geo_return_rate,H19))-J19-K19</f>
        <v>1665735.9422461253</v>
      </c>
      <c r="H20" s="28"/>
      <c r="I20" s="5">
        <f t="shared" si="1"/>
        <v>-232797.22702964631</v>
      </c>
      <c r="J20" s="4">
        <f t="shared" si="4"/>
        <v>136535.73297099388</v>
      </c>
      <c r="K20" s="11"/>
      <c r="L20" s="4">
        <f t="shared" si="11"/>
        <v>16186.945224658546</v>
      </c>
      <c r="M20" s="5">
        <f t="shared" si="12"/>
        <v>152722.67819565244</v>
      </c>
      <c r="O20" s="6">
        <f t="shared" si="5"/>
        <v>0.59689061862480497</v>
      </c>
      <c r="P20" s="5">
        <f t="shared" si="6"/>
        <v>994262.15703286219</v>
      </c>
      <c r="Q20" s="5">
        <f t="shared" si="13"/>
        <v>81496.898117447723</v>
      </c>
      <c r="R20" s="5">
        <f t="shared" si="14"/>
        <v>91158.73386624</v>
      </c>
      <c r="S20" s="5">
        <f t="shared" si="7"/>
        <v>11000</v>
      </c>
      <c r="T20" s="5">
        <f>MIN($R20-SUM($S20:S20),VLOOKUP(T$3,tax_table,4,FALSE))*s_j</f>
        <v>33725</v>
      </c>
      <c r="U20" s="5">
        <f>MIN($R20-SUM($S20:T20),VLOOKUP(U$3,tax_table,4,FALSE))*s_j</f>
        <v>46433.73386624</v>
      </c>
      <c r="V20" s="5">
        <f>MIN($R20-SUM($S20:U20),VLOOKUP(V$3,tax_table,4,FALSE))*s_j</f>
        <v>0</v>
      </c>
      <c r="W20" s="5">
        <f>MIN($R20-SUM($S20:V20),VLOOKUP(W$3,tax_table,4,FALSE))*s_j</f>
        <v>0</v>
      </c>
      <c r="X20" s="5">
        <f>MIN($R20-SUM($S20:W20),VLOOKUP(X$3,tax_table,4,FALSE))*s_j</f>
        <v>0</v>
      </c>
      <c r="Y20" s="5">
        <f t="shared" si="8"/>
        <v>15362.4214505728</v>
      </c>
      <c r="Z20" s="8">
        <f t="shared" si="15"/>
        <v>0.16852385722156421</v>
      </c>
      <c r="AA20" s="8"/>
      <c r="AB20" s="3">
        <f t="shared" si="16"/>
        <v>138954.48085586476</v>
      </c>
      <c r="AC20" s="5">
        <f t="shared" si="2"/>
        <v>38907.254639642138</v>
      </c>
      <c r="AD20" s="5">
        <f t="shared" si="3"/>
        <v>389072.54639642138</v>
      </c>
    </row>
    <row r="21" spans="1:30" x14ac:dyDescent="0.25">
      <c r="A21" s="15" t="s">
        <v>28</v>
      </c>
      <c r="B21" s="17">
        <v>0.28000000000000003</v>
      </c>
      <c r="D21">
        <f t="shared" si="9"/>
        <v>91</v>
      </c>
      <c r="E21">
        <f t="shared" si="10"/>
        <v>2039</v>
      </c>
      <c r="F21">
        <f t="shared" si="0"/>
        <v>11.5</v>
      </c>
      <c r="G21" s="5">
        <f>G20*(1+IF(ISBLANK(H20),geo_return_rate,H20))-J20-K20</f>
        <v>1639138.7814633758</v>
      </c>
      <c r="H21" s="28"/>
      <c r="I21" s="5">
        <f t="shared" si="1"/>
        <v>-229080.10409314017</v>
      </c>
      <c r="J21" s="4">
        <f t="shared" si="4"/>
        <v>142533.8070837718</v>
      </c>
      <c r="K21" s="11"/>
      <c r="L21" s="4">
        <f t="shared" si="11"/>
        <v>16753.488307521595</v>
      </c>
      <c r="M21" s="5">
        <f t="shared" si="12"/>
        <v>159287.29539129339</v>
      </c>
      <c r="O21" s="6">
        <f t="shared" si="5"/>
        <v>0.57670591171478747</v>
      </c>
      <c r="P21" s="5">
        <f t="shared" si="6"/>
        <v>945301.02539090195</v>
      </c>
      <c r="Q21" s="5">
        <f t="shared" si="13"/>
        <v>82200.089164426245</v>
      </c>
      <c r="R21" s="5">
        <f t="shared" si="14"/>
        <v>91861.924913218521</v>
      </c>
      <c r="S21" s="5">
        <f t="shared" si="7"/>
        <v>11000</v>
      </c>
      <c r="T21" s="5">
        <f>MIN($R21-SUM($S21:S21),VLOOKUP(T$3,tax_table,4,FALSE))*s_j</f>
        <v>33725</v>
      </c>
      <c r="U21" s="5">
        <f>MIN($R21-SUM($S21:T21),VLOOKUP(U$3,tax_table,4,FALSE))*s_j</f>
        <v>47136.924913218521</v>
      </c>
      <c r="V21" s="5">
        <f>MIN($R21-SUM($S21:U21),VLOOKUP(V$3,tax_table,4,FALSE))*s_j</f>
        <v>0</v>
      </c>
      <c r="W21" s="5">
        <f>MIN($R21-SUM($S21:V21),VLOOKUP(W$3,tax_table,4,FALSE))*s_j</f>
        <v>0</v>
      </c>
      <c r="X21" s="5">
        <f>MIN($R21-SUM($S21:W21),VLOOKUP(X$3,tax_table,4,FALSE))*s_j</f>
        <v>0</v>
      </c>
      <c r="Y21" s="5">
        <f t="shared" si="8"/>
        <v>15517.123480908074</v>
      </c>
      <c r="Z21" s="8">
        <f t="shared" si="15"/>
        <v>0.16891790037675586</v>
      </c>
      <c r="AA21" s="8"/>
      <c r="AB21" s="3">
        <f t="shared" si="16"/>
        <v>132111.85028675283</v>
      </c>
      <c r="AC21" s="5">
        <f t="shared" si="2"/>
        <v>36991.318080290795</v>
      </c>
      <c r="AD21" s="5">
        <f t="shared" si="3"/>
        <v>369913.18080290797</v>
      </c>
    </row>
    <row r="22" spans="1:30" x14ac:dyDescent="0.25">
      <c r="A22" s="15" t="s">
        <v>29</v>
      </c>
      <c r="B22" s="18">
        <v>1</v>
      </c>
      <c r="D22">
        <f t="shared" si="9"/>
        <v>92</v>
      </c>
      <c r="E22">
        <f t="shared" si="10"/>
        <v>2040</v>
      </c>
      <c r="F22">
        <f t="shared" si="0"/>
        <v>10.8</v>
      </c>
      <c r="G22" s="5">
        <f>G21*(1+IF(ISBLANK(H21),geo_return_rate,H21))-J21-K21</f>
        <v>1604788.1339561869</v>
      </c>
      <c r="H22" s="28"/>
      <c r="I22" s="5">
        <f t="shared" si="1"/>
        <v>-224279.38191171002</v>
      </c>
      <c r="J22" s="4">
        <f t="shared" si="4"/>
        <v>148591.4938848321</v>
      </c>
      <c r="K22" s="11"/>
      <c r="L22" s="4">
        <f t="shared" si="11"/>
        <v>17339.860398284851</v>
      </c>
      <c r="M22" s="5">
        <f t="shared" si="12"/>
        <v>165931.35428311696</v>
      </c>
      <c r="O22" s="6">
        <f t="shared" si="5"/>
        <v>0.55720377943457733</v>
      </c>
      <c r="P22" s="5">
        <f t="shared" si="6"/>
        <v>894194.01343215012</v>
      </c>
      <c r="Q22" s="5">
        <f t="shared" si="13"/>
        <v>82795.741984458335</v>
      </c>
      <c r="R22" s="5">
        <f t="shared" si="14"/>
        <v>92457.577733250611</v>
      </c>
      <c r="S22" s="5">
        <f t="shared" si="7"/>
        <v>11000</v>
      </c>
      <c r="T22" s="5">
        <f>MIN($R22-SUM($S22:S22),VLOOKUP(T$3,tax_table,4,FALSE))*s_j</f>
        <v>33725</v>
      </c>
      <c r="U22" s="5">
        <f>MIN($R22-SUM($S22:T22),VLOOKUP(U$3,tax_table,4,FALSE))*s_j</f>
        <v>47732.577733250611</v>
      </c>
      <c r="V22" s="5">
        <f>MIN($R22-SUM($S22:U22),VLOOKUP(V$3,tax_table,4,FALSE))*s_j</f>
        <v>0</v>
      </c>
      <c r="W22" s="5">
        <f>MIN($R22-SUM($S22:V22),VLOOKUP(W$3,tax_table,4,FALSE))*s_j</f>
        <v>0</v>
      </c>
      <c r="X22" s="5">
        <f>MIN($R22-SUM($S22:W22),VLOOKUP(X$3,tax_table,4,FALSE))*s_j</f>
        <v>0</v>
      </c>
      <c r="Y22" s="5">
        <f t="shared" si="8"/>
        <v>15648.167101315135</v>
      </c>
      <c r="Z22" s="8">
        <f t="shared" si="15"/>
        <v>0.1692469939723239</v>
      </c>
      <c r="AA22" s="8"/>
      <c r="AB22" s="3">
        <f t="shared" si="16"/>
        <v>124969.3192504558</v>
      </c>
      <c r="AC22" s="5">
        <f t="shared" si="2"/>
        <v>34991.409390127628</v>
      </c>
      <c r="AD22" s="5">
        <f t="shared" si="3"/>
        <v>349914.0939012763</v>
      </c>
    </row>
    <row r="23" spans="1:30" x14ac:dyDescent="0.25">
      <c r="A23" s="19"/>
      <c r="B23" s="19"/>
      <c r="D23">
        <f t="shared" si="9"/>
        <v>93</v>
      </c>
      <c r="E23">
        <f t="shared" si="10"/>
        <v>2041</v>
      </c>
      <c r="F23">
        <f t="shared" si="0"/>
        <v>10.1</v>
      </c>
      <c r="G23" s="5">
        <f>G22*(1+IF(ISBLANK(H22),geo_return_rate,H22))-J22-K22</f>
        <v>1562112.6569124633</v>
      </c>
      <c r="H23" s="28"/>
      <c r="I23" s="5">
        <f t="shared" si="1"/>
        <v>-218315.21168161344</v>
      </c>
      <c r="J23" s="4">
        <f t="shared" si="4"/>
        <v>154664.6194962835</v>
      </c>
      <c r="K23" s="11"/>
      <c r="L23" s="4">
        <f t="shared" si="11"/>
        <v>17946.75551222482</v>
      </c>
      <c r="M23" s="5">
        <f t="shared" si="12"/>
        <v>172611.37500850833</v>
      </c>
      <c r="O23" s="6">
        <f t="shared" si="5"/>
        <v>0.53836113955031628</v>
      </c>
      <c r="P23" s="5">
        <f t="shared" si="6"/>
        <v>840980.75008136593</v>
      </c>
      <c r="Q23" s="5">
        <f t="shared" si="13"/>
        <v>83265.420800135253</v>
      </c>
      <c r="R23" s="5">
        <f t="shared" si="14"/>
        <v>92927.256548927529</v>
      </c>
      <c r="S23" s="5">
        <f t="shared" si="7"/>
        <v>11000</v>
      </c>
      <c r="T23" s="5">
        <f>MIN($R23-SUM($S23:S23),VLOOKUP(T$3,tax_table,4,FALSE))*s_j</f>
        <v>33725</v>
      </c>
      <c r="U23" s="5">
        <f>MIN($R23-SUM($S23:T23),VLOOKUP(U$3,tax_table,4,FALSE))*s_j</f>
        <v>48202.256548927529</v>
      </c>
      <c r="V23" s="5">
        <f>MIN($R23-SUM($S23:U23),VLOOKUP(V$3,tax_table,4,FALSE))*s_j</f>
        <v>0</v>
      </c>
      <c r="W23" s="5">
        <f>MIN($R23-SUM($S23:V23),VLOOKUP(W$3,tax_table,4,FALSE))*s_j</f>
        <v>0</v>
      </c>
      <c r="X23" s="5">
        <f>MIN($R23-SUM($S23:W23),VLOOKUP(X$3,tax_table,4,FALSE))*s_j</f>
        <v>0</v>
      </c>
      <c r="Y23" s="5">
        <f t="shared" si="8"/>
        <v>15751.496440764056</v>
      </c>
      <c r="Z23" s="8">
        <f t="shared" si="15"/>
        <v>0.16950351302441247</v>
      </c>
      <c r="AA23" s="8"/>
      <c r="AB23" s="3">
        <f t="shared" si="16"/>
        <v>117532.42614208192</v>
      </c>
      <c r="AC23" s="5">
        <f t="shared" si="2"/>
        <v>32909.079319782941</v>
      </c>
      <c r="AD23" s="5">
        <f t="shared" si="3"/>
        <v>329090.79319782939</v>
      </c>
    </row>
    <row r="24" spans="1:30" x14ac:dyDescent="0.25">
      <c r="A24" s="19"/>
      <c r="B24" s="19"/>
      <c r="D24">
        <f t="shared" si="9"/>
        <v>94</v>
      </c>
      <c r="E24">
        <f t="shared" si="10"/>
        <v>2042</v>
      </c>
      <c r="F24">
        <f t="shared" si="0"/>
        <v>9.5</v>
      </c>
      <c r="G24" s="5">
        <f>G23*(1+IF(ISBLANK(H23),geo_return_rate,H23))-J23-K23</f>
        <v>1510547.4727724022</v>
      </c>
      <c r="H24" s="28"/>
      <c r="I24" s="5">
        <f t="shared" si="1"/>
        <v>-211108.64815937087</v>
      </c>
      <c r="J24" s="4">
        <f t="shared" si="4"/>
        <v>159004.99713393708</v>
      </c>
      <c r="K24" s="11"/>
      <c r="L24" s="4">
        <f t="shared" si="11"/>
        <v>18574.891955152685</v>
      </c>
      <c r="M24" s="5">
        <f t="shared" si="12"/>
        <v>177579.88908908976</v>
      </c>
      <c r="O24" s="6">
        <f t="shared" si="5"/>
        <v>0.520155690386779</v>
      </c>
      <c r="P24" s="5">
        <f t="shared" si="6"/>
        <v>785719.86356193316</v>
      </c>
      <c r="Q24" s="5">
        <f t="shared" si="13"/>
        <v>82707.354059150864</v>
      </c>
      <c r="R24" s="5">
        <f t="shared" si="14"/>
        <v>92369.189807943127</v>
      </c>
      <c r="S24" s="5">
        <f t="shared" si="7"/>
        <v>11000</v>
      </c>
      <c r="T24" s="5">
        <f>MIN($R24-SUM($S24:S24),VLOOKUP(T$3,tax_table,4,FALSE))*s_j</f>
        <v>33725</v>
      </c>
      <c r="U24" s="5">
        <f>MIN($R24-SUM($S24:T24),VLOOKUP(U$3,tax_table,4,FALSE))*s_j</f>
        <v>47644.189807943127</v>
      </c>
      <c r="V24" s="5">
        <f>MIN($R24-SUM($S24:U24),VLOOKUP(V$3,tax_table,4,FALSE))*s_j</f>
        <v>0</v>
      </c>
      <c r="W24" s="5">
        <f>MIN($R24-SUM($S24:V24),VLOOKUP(W$3,tax_table,4,FALSE))*s_j</f>
        <v>0</v>
      </c>
      <c r="X24" s="5">
        <f>MIN($R24-SUM($S24:W24),VLOOKUP(X$3,tax_table,4,FALSE))*s_j</f>
        <v>0</v>
      </c>
      <c r="Y24" s="5">
        <f t="shared" si="8"/>
        <v>15628.721757747488</v>
      </c>
      <c r="Z24" s="8">
        <f t="shared" si="15"/>
        <v>0.16919842850460429</v>
      </c>
      <c r="AA24" s="8"/>
      <c r="AB24" s="3">
        <f t="shared" si="16"/>
        <v>109809.36462995718</v>
      </c>
      <c r="AC24" s="5">
        <f t="shared" si="2"/>
        <v>30746.622096388015</v>
      </c>
      <c r="AD24" s="5">
        <f t="shared" si="3"/>
        <v>307466.22096388013</v>
      </c>
    </row>
    <row r="25" spans="1:30" x14ac:dyDescent="0.25">
      <c r="A25" s="19"/>
      <c r="B25" s="19"/>
      <c r="D25">
        <f t="shared" si="9"/>
        <v>95</v>
      </c>
      <c r="E25">
        <f t="shared" si="10"/>
        <v>2043</v>
      </c>
      <c r="F25">
        <f t="shared" si="0"/>
        <v>8.9</v>
      </c>
      <c r="G25" s="5">
        <f>G24*(1+IF(ISBLANK(H24),geo_return_rate,H24))-J24-K24</f>
        <v>1451238.6088414439</v>
      </c>
      <c r="H25" s="28"/>
      <c r="I25" s="5">
        <f t="shared" si="1"/>
        <v>-202819.85597374509</v>
      </c>
      <c r="J25" s="4">
        <f t="shared" si="4"/>
        <v>163060.51784735324</v>
      </c>
      <c r="K25" s="11"/>
      <c r="L25" s="4">
        <f t="shared" si="11"/>
        <v>19225.013173583029</v>
      </c>
      <c r="M25" s="5">
        <f t="shared" si="12"/>
        <v>182285.53102093627</v>
      </c>
      <c r="O25" s="6">
        <f t="shared" si="5"/>
        <v>0.50256588443167061</v>
      </c>
      <c r="P25" s="5">
        <f t="shared" si="6"/>
        <v>729343.01497378747</v>
      </c>
      <c r="Q25" s="5">
        <f t="shared" si="13"/>
        <v>81948.653367841296</v>
      </c>
      <c r="R25" s="5">
        <f t="shared" si="14"/>
        <v>91610.489116633558</v>
      </c>
      <c r="S25" s="5">
        <f t="shared" si="7"/>
        <v>11000</v>
      </c>
      <c r="T25" s="5">
        <f>MIN($R25-SUM($S25:S25),VLOOKUP(T$3,tax_table,4,FALSE))*s_j</f>
        <v>33725</v>
      </c>
      <c r="U25" s="5">
        <f>MIN($R25-SUM($S25:T25),VLOOKUP(U$3,tax_table,4,FALSE))*s_j</f>
        <v>46885.489116633558</v>
      </c>
      <c r="V25" s="5">
        <f>MIN($R25-SUM($S25:U25),VLOOKUP(V$3,tax_table,4,FALSE))*s_j</f>
        <v>0</v>
      </c>
      <c r="W25" s="5">
        <f>MIN($R25-SUM($S25:V25),VLOOKUP(W$3,tax_table,4,FALSE))*s_j</f>
        <v>0</v>
      </c>
      <c r="X25" s="5">
        <f>MIN($R25-SUM($S25:W25),VLOOKUP(X$3,tax_table,4,FALSE))*s_j</f>
        <v>0</v>
      </c>
      <c r="Y25" s="5">
        <f t="shared" si="8"/>
        <v>15461.807605659384</v>
      </c>
      <c r="Z25" s="8">
        <f t="shared" si="15"/>
        <v>0.16877769952711683</v>
      </c>
      <c r="AA25" s="8"/>
      <c r="AB25" s="3">
        <f t="shared" si="16"/>
        <v>101930.34029774925</v>
      </c>
      <c r="AC25" s="5">
        <f t="shared" si="2"/>
        <v>28540.495283369793</v>
      </c>
      <c r="AD25" s="5">
        <f t="shared" si="3"/>
        <v>285404.95283369796</v>
      </c>
    </row>
    <row r="26" spans="1:30" x14ac:dyDescent="0.25">
      <c r="A26" s="19"/>
      <c r="B26" s="19"/>
      <c r="D26">
        <f t="shared" si="9"/>
        <v>96</v>
      </c>
      <c r="E26">
        <f t="shared" si="10"/>
        <v>2044</v>
      </c>
      <c r="F26">
        <f t="shared" si="0"/>
        <v>8.4</v>
      </c>
      <c r="G26" s="5">
        <f>G25*(1+IF(ISBLANK(H25),geo_return_rate,H25))-J25-K25</f>
        <v>1383959.8391776262</v>
      </c>
      <c r="H26" s="28"/>
      <c r="I26" s="5">
        <f t="shared" si="1"/>
        <v>-193417.21860579375</v>
      </c>
      <c r="J26" s="4">
        <f t="shared" si="4"/>
        <v>164757.12371162215</v>
      </c>
      <c r="K26" s="11"/>
      <c r="L26" s="4">
        <f t="shared" si="11"/>
        <v>19897.888634658433</v>
      </c>
      <c r="M26" s="5">
        <f t="shared" si="12"/>
        <v>184655.01234628056</v>
      </c>
      <c r="O26" s="6">
        <f t="shared" si="5"/>
        <v>0.48557090283253201</v>
      </c>
      <c r="P26" s="5">
        <f t="shared" si="6"/>
        <v>672010.62859344576</v>
      </c>
      <c r="Q26" s="5">
        <f t="shared" si="13"/>
        <v>80001.265308743532</v>
      </c>
      <c r="R26" s="5">
        <f t="shared" si="14"/>
        <v>89663.101057535794</v>
      </c>
      <c r="S26" s="5">
        <f t="shared" si="7"/>
        <v>11000</v>
      </c>
      <c r="T26" s="5">
        <f>MIN($R26-SUM($S26:S26),VLOOKUP(T$3,tax_table,4,FALSE))*s_j</f>
        <v>33725</v>
      </c>
      <c r="U26" s="5">
        <f>MIN($R26-SUM($S26:T26),VLOOKUP(U$3,tax_table,4,FALSE))*s_j</f>
        <v>44938.101057535794</v>
      </c>
      <c r="V26" s="5">
        <f>MIN($R26-SUM($S26:U26),VLOOKUP(V$3,tax_table,4,FALSE))*s_j</f>
        <v>0</v>
      </c>
      <c r="W26" s="5">
        <f>MIN($R26-SUM($S26:V26),VLOOKUP(W$3,tax_table,4,FALSE))*s_j</f>
        <v>0</v>
      </c>
      <c r="X26" s="5">
        <f>MIN($R26-SUM($S26:W26),VLOOKUP(X$3,tax_table,4,FALSE))*s_j</f>
        <v>0</v>
      </c>
      <c r="Y26" s="5">
        <f t="shared" si="8"/>
        <v>15033.382232657876</v>
      </c>
      <c r="Z26" s="8">
        <f t="shared" si="15"/>
        <v>0.16766520514398811</v>
      </c>
      <c r="AA26" s="8"/>
      <c r="AB26" s="3">
        <f t="shared" si="16"/>
        <v>93917.773461772478</v>
      </c>
      <c r="AC26" s="5">
        <f t="shared" si="2"/>
        <v>26296.976569296297</v>
      </c>
      <c r="AD26" s="5">
        <f t="shared" si="3"/>
        <v>262969.76569296297</v>
      </c>
    </row>
    <row r="27" spans="1:30" x14ac:dyDescent="0.25">
      <c r="A27" s="19"/>
      <c r="B27" s="19"/>
      <c r="D27">
        <f t="shared" si="9"/>
        <v>97</v>
      </c>
      <c r="E27">
        <f t="shared" si="10"/>
        <v>2045</v>
      </c>
      <c r="F27">
        <f t="shared" si="0"/>
        <v>7.8</v>
      </c>
      <c r="G27" s="5">
        <f>G26*(1+IF(ISBLANK(H26),geo_return_rate,H26))-J26-K26</f>
        <v>1310544.0648517276</v>
      </c>
      <c r="H27" s="28"/>
      <c r="I27" s="5">
        <f t="shared" si="1"/>
        <v>-183156.89567594355</v>
      </c>
      <c r="J27" s="4">
        <f t="shared" si="4"/>
        <v>168018.46985278558</v>
      </c>
      <c r="K27" s="11"/>
      <c r="L27" s="4">
        <f t="shared" si="11"/>
        <v>20594.314736871478</v>
      </c>
      <c r="M27" s="5">
        <f t="shared" si="12"/>
        <v>188612.78458965707</v>
      </c>
      <c r="O27" s="6">
        <f t="shared" si="5"/>
        <v>0.46915063075606961</v>
      </c>
      <c r="P27" s="5">
        <f t="shared" si="6"/>
        <v>614842.57465881144</v>
      </c>
      <c r="Q27" s="5">
        <f t="shared" si="13"/>
        <v>78825.971110104016</v>
      </c>
      <c r="R27" s="5">
        <f t="shared" si="14"/>
        <v>88487.806858896292</v>
      </c>
      <c r="S27" s="5">
        <f t="shared" si="7"/>
        <v>11000</v>
      </c>
      <c r="T27" s="5">
        <f>MIN($R27-SUM($S27:S27),VLOOKUP(T$3,tax_table,4,FALSE))*s_j</f>
        <v>33725</v>
      </c>
      <c r="U27" s="5">
        <f>MIN($R27-SUM($S27:T27),VLOOKUP(U$3,tax_table,4,FALSE))*s_j</f>
        <v>43762.806858896292</v>
      </c>
      <c r="V27" s="5">
        <f>MIN($R27-SUM($S27:U27),VLOOKUP(V$3,tax_table,4,FALSE))*s_j</f>
        <v>0</v>
      </c>
      <c r="W27" s="5">
        <f>MIN($R27-SUM($S27:V27),VLOOKUP(W$3,tax_table,4,FALSE))*s_j</f>
        <v>0</v>
      </c>
      <c r="X27" s="5">
        <f>MIN($R27-SUM($S27:W27),VLOOKUP(X$3,tax_table,4,FALSE))*s_j</f>
        <v>0</v>
      </c>
      <c r="Y27" s="5">
        <f t="shared" si="8"/>
        <v>14774.817508957185</v>
      </c>
      <c r="Z27" s="8">
        <f t="shared" si="15"/>
        <v>0.16697009490264894</v>
      </c>
      <c r="AA27" s="8"/>
      <c r="AB27" s="3">
        <f t="shared" si="16"/>
        <v>85928.173133692559</v>
      </c>
      <c r="AC27" s="5">
        <f t="shared" si="2"/>
        <v>24059.88847743392</v>
      </c>
      <c r="AD27" s="5">
        <f t="shared" si="3"/>
        <v>240598.88477433921</v>
      </c>
    </row>
    <row r="28" spans="1:30" x14ac:dyDescent="0.25">
      <c r="A28" s="19"/>
      <c r="B28" s="19"/>
      <c r="D28">
        <f t="shared" si="9"/>
        <v>98</v>
      </c>
      <c r="E28">
        <f t="shared" si="10"/>
        <v>2046</v>
      </c>
      <c r="F28">
        <f t="shared" si="0"/>
        <v>7.3</v>
      </c>
      <c r="G28" s="5">
        <f>G27*(1+IF(ISBLANK(H27),geo_return_rate,H27))-J27-K27</f>
        <v>1229021.5032791561</v>
      </c>
      <c r="H28" s="28"/>
      <c r="I28" s="5">
        <f t="shared" si="1"/>
        <v>-171763.59749876821</v>
      </c>
      <c r="J28" s="4">
        <f t="shared" si="4"/>
        <v>168359.11003824056</v>
      </c>
      <c r="K28" s="11"/>
      <c r="L28" s="4">
        <f t="shared" si="11"/>
        <v>21315.115752661979</v>
      </c>
      <c r="M28" s="5">
        <f t="shared" si="12"/>
        <v>189674.22579090254</v>
      </c>
      <c r="O28" s="6">
        <f t="shared" si="5"/>
        <v>0.45328563358074364</v>
      </c>
      <c r="P28" s="5">
        <f t="shared" si="6"/>
        <v>557097.79079825024</v>
      </c>
      <c r="Q28" s="5">
        <f t="shared" si="13"/>
        <v>76314.765862774002</v>
      </c>
      <c r="R28" s="5">
        <f t="shared" si="14"/>
        <v>85976.601611566279</v>
      </c>
      <c r="S28" s="5">
        <f t="shared" si="7"/>
        <v>11000</v>
      </c>
      <c r="T28" s="5">
        <f>MIN($R28-SUM($S28:S28),VLOOKUP(T$3,tax_table,4,FALSE))*s_j</f>
        <v>33725</v>
      </c>
      <c r="U28" s="5">
        <f>MIN($R28-SUM($S28:T28),VLOOKUP(U$3,tax_table,4,FALSE))*s_j</f>
        <v>41251.601611566279</v>
      </c>
      <c r="V28" s="5">
        <f>MIN($R28-SUM($S28:U28),VLOOKUP(V$3,tax_table,4,FALSE))*s_j</f>
        <v>0</v>
      </c>
      <c r="W28" s="5">
        <f>MIN($R28-SUM($S28:V28),VLOOKUP(W$3,tax_table,4,FALSE))*s_j</f>
        <v>0</v>
      </c>
      <c r="X28" s="5">
        <f>MIN($R28-SUM($S28:W28),VLOOKUP(X$3,tax_table,4,FALSE))*s_j</f>
        <v>0</v>
      </c>
      <c r="Y28" s="5">
        <f t="shared" si="8"/>
        <v>14222.352354544581</v>
      </c>
      <c r="Z28" s="8">
        <f t="shared" si="15"/>
        <v>0.16542119702288016</v>
      </c>
      <c r="AA28" s="8"/>
      <c r="AB28" s="3">
        <f t="shared" si="16"/>
        <v>77857.97111833698</v>
      </c>
      <c r="AC28" s="5">
        <f t="shared" si="2"/>
        <v>21800.231913134357</v>
      </c>
      <c r="AD28" s="5">
        <f t="shared" si="3"/>
        <v>218002.31913134357</v>
      </c>
    </row>
    <row r="29" spans="1:30" x14ac:dyDescent="0.25">
      <c r="A29" s="19"/>
      <c r="B29" s="19"/>
    </row>
    <row r="30" spans="1:30" x14ac:dyDescent="0.25">
      <c r="A30" s="19"/>
      <c r="B30" s="19"/>
    </row>
    <row r="31" spans="1:30" x14ac:dyDescent="0.25">
      <c r="A31" s="19"/>
      <c r="B31" s="19"/>
    </row>
    <row r="32" spans="1:30" x14ac:dyDescent="0.25">
      <c r="A32" s="19"/>
      <c r="B32" s="19"/>
    </row>
    <row r="33" spans="1:2" x14ac:dyDescent="0.25">
      <c r="A33" s="19"/>
      <c r="B33" s="19"/>
    </row>
    <row r="34" spans="1:2" x14ac:dyDescent="0.25">
      <c r="A34" s="19"/>
      <c r="B34" s="19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7139D-54F7-4906-AEFE-C2D023528E7E}">
  <dimension ref="A1:I41"/>
  <sheetViews>
    <sheetView workbookViewId="0">
      <selection activeCell="F7" sqref="F7"/>
    </sheetView>
  </sheetViews>
  <sheetFormatPr defaultRowHeight="15" x14ac:dyDescent="0.25"/>
  <cols>
    <col min="2" max="2" width="27.42578125" customWidth="1"/>
    <col min="6" max="6" width="9.7109375" customWidth="1"/>
    <col min="7" max="7" width="10.5703125" customWidth="1"/>
    <col min="8" max="8" width="10.28515625" customWidth="1"/>
    <col min="9" max="9" width="10.42578125" customWidth="1"/>
  </cols>
  <sheetData>
    <row r="1" spans="1:9" ht="45" customHeight="1" x14ac:dyDescent="0.25">
      <c r="A1" s="27" t="s">
        <v>4</v>
      </c>
      <c r="B1" s="27"/>
      <c r="E1" t="s">
        <v>23</v>
      </c>
    </row>
    <row r="2" spans="1:9" x14ac:dyDescent="0.25">
      <c r="A2" s="1" t="s">
        <v>5</v>
      </c>
      <c r="B2" s="2" t="s">
        <v>6</v>
      </c>
      <c r="E2" t="s">
        <v>18</v>
      </c>
      <c r="F2" t="s">
        <v>19</v>
      </c>
      <c r="G2" t="s">
        <v>20</v>
      </c>
      <c r="H2" t="s">
        <v>21</v>
      </c>
      <c r="I2" t="s">
        <v>22</v>
      </c>
    </row>
    <row r="3" spans="1:9" x14ac:dyDescent="0.25">
      <c r="A3" s="1">
        <v>72</v>
      </c>
      <c r="B3" s="1">
        <v>27.4</v>
      </c>
      <c r="E3">
        <v>1</v>
      </c>
      <c r="F3">
        <v>11000</v>
      </c>
      <c r="G3" s="7">
        <v>0.1</v>
      </c>
      <c r="H3">
        <v>11000</v>
      </c>
      <c r="I3">
        <v>1100</v>
      </c>
    </row>
    <row r="4" spans="1:9" x14ac:dyDescent="0.25">
      <c r="A4" s="1">
        <v>73</v>
      </c>
      <c r="B4" s="1">
        <v>26.5</v>
      </c>
      <c r="E4">
        <v>2</v>
      </c>
      <c r="F4">
        <v>44725</v>
      </c>
      <c r="G4" s="7">
        <v>0.12</v>
      </c>
      <c r="H4">
        <v>33725</v>
      </c>
      <c r="I4">
        <v>4047</v>
      </c>
    </row>
    <row r="5" spans="1:9" x14ac:dyDescent="0.25">
      <c r="A5" s="1">
        <v>74</v>
      </c>
      <c r="B5" s="1">
        <v>25.5</v>
      </c>
      <c r="E5">
        <v>3</v>
      </c>
      <c r="F5">
        <v>95375</v>
      </c>
      <c r="G5" s="7">
        <v>0.22</v>
      </c>
      <c r="H5">
        <v>50650</v>
      </c>
      <c r="I5">
        <v>11143</v>
      </c>
    </row>
    <row r="6" spans="1:9" x14ac:dyDescent="0.25">
      <c r="A6" s="1">
        <v>75</v>
      </c>
      <c r="B6" s="1">
        <v>24.6</v>
      </c>
      <c r="E6">
        <v>4</v>
      </c>
      <c r="F6">
        <v>182100</v>
      </c>
      <c r="G6" s="7">
        <v>0.24</v>
      </c>
      <c r="H6">
        <v>86725</v>
      </c>
      <c r="I6">
        <v>20814</v>
      </c>
    </row>
    <row r="7" spans="1:9" x14ac:dyDescent="0.25">
      <c r="A7" s="1">
        <v>76</v>
      </c>
      <c r="B7" s="1">
        <v>23.7</v>
      </c>
      <c r="E7">
        <v>5</v>
      </c>
      <c r="F7">
        <v>231250</v>
      </c>
      <c r="G7" s="7">
        <v>0.32</v>
      </c>
      <c r="H7">
        <f>Table2[[#This Row],[Bracket]]-F6</f>
        <v>49150</v>
      </c>
      <c r="I7">
        <f>Table2[[#This Row],[Amount]]*Table2[[#This Row],[Tax Rate]]</f>
        <v>15728</v>
      </c>
    </row>
    <row r="8" spans="1:9" x14ac:dyDescent="0.25">
      <c r="A8" s="1">
        <v>77</v>
      </c>
      <c r="B8" s="1">
        <v>22.9</v>
      </c>
      <c r="E8">
        <v>6</v>
      </c>
      <c r="F8">
        <v>578125</v>
      </c>
      <c r="G8" s="7">
        <v>0.35</v>
      </c>
      <c r="H8">
        <f>Table2[[#This Row],[Bracket]]-F7</f>
        <v>346875</v>
      </c>
      <c r="I8" s="9">
        <f>Table2[[#This Row],[Tax Rate]]*Table2[[#This Row],[Amount]]</f>
        <v>121406.24999999999</v>
      </c>
    </row>
    <row r="9" spans="1:9" x14ac:dyDescent="0.25">
      <c r="A9" s="1">
        <v>78</v>
      </c>
      <c r="B9" s="1">
        <v>22</v>
      </c>
    </row>
    <row r="10" spans="1:9" x14ac:dyDescent="0.25">
      <c r="A10" s="1">
        <v>79</v>
      </c>
      <c r="B10" s="1">
        <v>21.1</v>
      </c>
    </row>
    <row r="11" spans="1:9" x14ac:dyDescent="0.25">
      <c r="A11" s="1">
        <v>80</v>
      </c>
      <c r="B11" s="1">
        <v>20.2</v>
      </c>
    </row>
    <row r="12" spans="1:9" x14ac:dyDescent="0.25">
      <c r="A12" s="1">
        <v>81</v>
      </c>
      <c r="B12" s="1">
        <v>19.399999999999999</v>
      </c>
    </row>
    <row r="13" spans="1:9" x14ac:dyDescent="0.25">
      <c r="A13" s="1">
        <v>82</v>
      </c>
      <c r="B13" s="1">
        <v>18.5</v>
      </c>
    </row>
    <row r="14" spans="1:9" x14ac:dyDescent="0.25">
      <c r="A14" s="1">
        <v>83</v>
      </c>
      <c r="B14" s="1">
        <v>17.7</v>
      </c>
    </row>
    <row r="15" spans="1:9" x14ac:dyDescent="0.25">
      <c r="A15" s="1">
        <v>84</v>
      </c>
      <c r="B15" s="1">
        <v>16.8</v>
      </c>
    </row>
    <row r="16" spans="1:9" x14ac:dyDescent="0.25">
      <c r="A16" s="1">
        <v>85</v>
      </c>
      <c r="B16" s="1">
        <v>16</v>
      </c>
    </row>
    <row r="17" spans="1:2" x14ac:dyDescent="0.25">
      <c r="A17" s="1">
        <v>86</v>
      </c>
      <c r="B17" s="1">
        <v>15.2</v>
      </c>
    </row>
    <row r="18" spans="1:2" x14ac:dyDescent="0.25">
      <c r="A18" s="1">
        <v>87</v>
      </c>
      <c r="B18" s="1">
        <v>14.4</v>
      </c>
    </row>
    <row r="19" spans="1:2" x14ac:dyDescent="0.25">
      <c r="A19" s="1">
        <v>88</v>
      </c>
      <c r="B19" s="1">
        <v>13.7</v>
      </c>
    </row>
    <row r="20" spans="1:2" x14ac:dyDescent="0.25">
      <c r="A20" s="1">
        <v>89</v>
      </c>
      <c r="B20" s="1">
        <v>12.9</v>
      </c>
    </row>
    <row r="21" spans="1:2" x14ac:dyDescent="0.25">
      <c r="A21" s="1">
        <v>90</v>
      </c>
      <c r="B21" s="1">
        <v>12.2</v>
      </c>
    </row>
    <row r="22" spans="1:2" x14ac:dyDescent="0.25">
      <c r="A22" s="1">
        <v>91</v>
      </c>
      <c r="B22" s="1">
        <v>11.5</v>
      </c>
    </row>
    <row r="23" spans="1:2" x14ac:dyDescent="0.25">
      <c r="A23" s="1">
        <v>92</v>
      </c>
      <c r="B23" s="1">
        <v>10.8</v>
      </c>
    </row>
    <row r="24" spans="1:2" x14ac:dyDescent="0.25">
      <c r="A24" s="1">
        <v>93</v>
      </c>
      <c r="B24" s="1">
        <v>10.1</v>
      </c>
    </row>
    <row r="25" spans="1:2" x14ac:dyDescent="0.25">
      <c r="A25" s="1">
        <v>94</v>
      </c>
      <c r="B25" s="1">
        <v>9.5</v>
      </c>
    </row>
    <row r="26" spans="1:2" x14ac:dyDescent="0.25">
      <c r="A26" s="1">
        <v>95</v>
      </c>
      <c r="B26" s="1">
        <v>8.9</v>
      </c>
    </row>
    <row r="27" spans="1:2" x14ac:dyDescent="0.25">
      <c r="A27" s="1">
        <v>96</v>
      </c>
      <c r="B27" s="1">
        <v>8.4</v>
      </c>
    </row>
    <row r="28" spans="1:2" x14ac:dyDescent="0.25">
      <c r="A28" s="1">
        <v>97</v>
      </c>
      <c r="B28" s="1">
        <v>7.8</v>
      </c>
    </row>
    <row r="29" spans="1:2" x14ac:dyDescent="0.25">
      <c r="A29" s="1">
        <v>98</v>
      </c>
      <c r="B29" s="1">
        <v>7.3</v>
      </c>
    </row>
    <row r="30" spans="1:2" x14ac:dyDescent="0.25">
      <c r="A30" s="1">
        <v>99</v>
      </c>
      <c r="B30" s="1">
        <v>6.8</v>
      </c>
    </row>
    <row r="31" spans="1:2" x14ac:dyDescent="0.25">
      <c r="A31" s="1">
        <v>100</v>
      </c>
      <c r="B31" s="1">
        <v>6.4</v>
      </c>
    </row>
    <row r="32" spans="1:2" x14ac:dyDescent="0.25">
      <c r="A32" s="1">
        <v>101</v>
      </c>
      <c r="B32" s="1">
        <v>6</v>
      </c>
    </row>
    <row r="33" spans="1:2" x14ac:dyDescent="0.25">
      <c r="A33" s="1">
        <v>102</v>
      </c>
      <c r="B33" s="1">
        <v>5.6</v>
      </c>
    </row>
    <row r="34" spans="1:2" x14ac:dyDescent="0.25">
      <c r="A34" s="1">
        <v>103</v>
      </c>
      <c r="B34" s="1">
        <v>5.2</v>
      </c>
    </row>
    <row r="35" spans="1:2" x14ac:dyDescent="0.25">
      <c r="A35" s="1">
        <v>104</v>
      </c>
      <c r="B35" s="1">
        <v>4.9000000000000004</v>
      </c>
    </row>
    <row r="36" spans="1:2" x14ac:dyDescent="0.25">
      <c r="A36" s="1">
        <v>105</v>
      </c>
      <c r="B36" s="1">
        <v>4.5999999999999996</v>
      </c>
    </row>
    <row r="37" spans="1:2" x14ac:dyDescent="0.25">
      <c r="A37" s="1">
        <v>106</v>
      </c>
      <c r="B37" s="1">
        <v>4.3</v>
      </c>
    </row>
    <row r="38" spans="1:2" x14ac:dyDescent="0.25">
      <c r="A38" s="1">
        <v>107</v>
      </c>
      <c r="B38" s="1">
        <v>4.0999999999999996</v>
      </c>
    </row>
    <row r="39" spans="1:2" x14ac:dyDescent="0.25">
      <c r="A39" s="1">
        <v>108</v>
      </c>
      <c r="B39" s="1">
        <v>3.9</v>
      </c>
    </row>
    <row r="40" spans="1:2" x14ac:dyDescent="0.25">
      <c r="A40" s="1">
        <v>109</v>
      </c>
      <c r="B40" s="1">
        <v>3.7</v>
      </c>
    </row>
    <row r="41" spans="1:2" x14ac:dyDescent="0.25">
      <c r="A41" s="1">
        <v>110</v>
      </c>
      <c r="B41" s="1">
        <v>3.5</v>
      </c>
    </row>
  </sheetData>
  <mergeCells count="1">
    <mergeCell ref="A1:B1"/>
  </mergeCells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</vt:i4>
      </vt:variant>
    </vt:vector>
  </HeadingPairs>
  <TitlesOfParts>
    <vt:vector size="18" baseType="lpstr">
      <vt:lpstr>IRA tax calculator</vt:lpstr>
      <vt:lpstr>tables</vt:lpstr>
      <vt:lpstr>attained_age</vt:lpstr>
      <vt:lpstr>dep_tax</vt:lpstr>
      <vt:lpstr>dep_tax_rate</vt:lpstr>
      <vt:lpstr>deps_cnt</vt:lpstr>
      <vt:lpstr>geo_return_rate</vt:lpstr>
      <vt:lpstr>inf_disc</vt:lpstr>
      <vt:lpstr>inflation</vt:lpstr>
      <vt:lpstr>inital_bal</vt:lpstr>
      <vt:lpstr>inv_disc</vt:lpstr>
      <vt:lpstr>ord_income</vt:lpstr>
      <vt:lpstr>RMD_factor</vt:lpstr>
      <vt:lpstr>RMD_table</vt:lpstr>
      <vt:lpstr>s_j</vt:lpstr>
      <vt:lpstr>start_year</vt:lpstr>
      <vt:lpstr>tax_table</vt:lpstr>
      <vt:lpstr>wd_years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Maxwell</dc:creator>
  <cp:lastModifiedBy>Robert Maxwell</cp:lastModifiedBy>
  <dcterms:created xsi:type="dcterms:W3CDTF">2023-01-14T18:11:07Z</dcterms:created>
  <dcterms:modified xsi:type="dcterms:W3CDTF">2023-01-15T18:42:59Z</dcterms:modified>
</cp:coreProperties>
</file>