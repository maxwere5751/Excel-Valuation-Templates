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refreshAllConnections="1" defaultThemeVersion="166925"/>
  <mc:AlternateContent xmlns:mc="http://schemas.openxmlformats.org/markup-compatibility/2006">
    <mc:Choice Requires="x15">
      <x15ac:absPath xmlns:x15ac="http://schemas.microsoft.com/office/spreadsheetml/2010/11/ac" url="https://d.docs.live.net/f4cf77e439bdbf97/Documents/Templates/"/>
    </mc:Choice>
  </mc:AlternateContent>
  <xr:revisionPtr revIDLastSave="0" documentId="13_ncr:1_{E827EDFB-42C9-4E67-B484-B03B6CFF3F2B}" xr6:coauthVersionLast="47" xr6:coauthVersionMax="47" xr10:uidLastSave="{00000000-0000-0000-0000-000000000000}"/>
  <bookViews>
    <workbookView xWindow="-57720" yWindow="-120" windowWidth="29040" windowHeight="15720" xr2:uid="{E76B97D7-F4E5-4CCB-A047-412479D6B6E6}"/>
  </bookViews>
  <sheets>
    <sheet name="Model" sheetId="1" r:id="rId1"/>
    <sheet name="Input" sheetId="2" r:id="rId2"/>
    <sheet name="WACC" sheetId="3" r:id="rId3"/>
  </sheets>
  <externalReferences>
    <externalReference r:id="rId4"/>
  </externalReferences>
  <definedNames>
    <definedName name="_xlcn.WorksheetConnection_NewStockValuationModel.xlsxTable11" hidden="1">Table1[]</definedName>
    <definedName name="beta">WACC!$B$7</definedName>
    <definedName name="company" localSheetId="2">[1]Model!$B$2</definedName>
    <definedName name="company">Model!$B$3</definedName>
    <definedName name="corptax">WACC!$B$4</definedName>
    <definedName name="costdebt">WACC!$B$11</definedName>
    <definedName name="costeq">WACC!$B$10</definedName>
    <definedName name="debt">WACC!$B$3</definedName>
    <definedName name="equity">WACC!$B$2</definedName>
    <definedName name="EV_EBITDA" localSheetId="2">[1]Model!$B$8</definedName>
    <definedName name="EV_EBITDA">Model!$B$9</definedName>
    <definedName name="FCF" localSheetId="2">[1]Model!$B$3</definedName>
    <definedName name="FCF">Model!$B$4</definedName>
    <definedName name="FCFF6" localSheetId="2">[1]Model!$B$15</definedName>
    <definedName name="FCFF6">Model!$B$23</definedName>
    <definedName name="growth" localSheetId="2">[1]Model!$B$6</definedName>
    <definedName name="growth">Model!$B$7</definedName>
    <definedName name="intexp">WACC!$B$5</definedName>
    <definedName name="mktret">WACC!$B$8</definedName>
    <definedName name="per_growth" localSheetId="2">[1]Model!$B$7</definedName>
    <definedName name="per_growth">Model!$B$8</definedName>
    <definedName name="pvffcf" localSheetId="2">[1]Model!$K$9</definedName>
    <definedName name="pvffcf">Model!$I$15</definedName>
    <definedName name="rfrate">WACC!$B$6</definedName>
    <definedName name="seed_year" localSheetId="2">[1]Model!$B$5</definedName>
    <definedName name="seed_year">Model!$B$6</definedName>
    <definedName name="shares" localSheetId="2">[1]Model!$B$26</definedName>
    <definedName name="shares">Model!$B$20</definedName>
    <definedName name="term_method" localSheetId="2">[1]Model!$B$9</definedName>
    <definedName name="term_method">Model!$B$10</definedName>
    <definedName name="term_methods" localSheetId="2">[1]Model!$A$31:$D$34</definedName>
    <definedName name="term_methods">Model!$A$26:$D$29</definedName>
    <definedName name="terminal_mult" localSheetId="2">[1]Model!$B$11</definedName>
    <definedName name="terminal_mult">Model!$B$12</definedName>
    <definedName name="time_data" localSheetId="2">#REF!</definedName>
    <definedName name="time_data">Table1[#All]</definedName>
    <definedName name="tv" localSheetId="2">[1]Model!$B$10</definedName>
    <definedName name="tv">Model!$B$11</definedName>
    <definedName name="tv_or">Model!$B$15</definedName>
    <definedName name="val_price" localSheetId="2">[1]Model!$K$11</definedName>
    <definedName name="val_price">Model!$I$17</definedName>
    <definedName name="WACC" localSheetId="2">[1]Model!$B$4</definedName>
    <definedName name="WACC">Model!$B$5</definedName>
  </definedNames>
  <calcPr calcId="191029"/>
  <pivotCaches>
    <pivotCache cacheId="151"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Feed" connection="WorksheetConnection_New Stock Valuation Model.xlsx!Table1"/>
        </x15:modelTables>
        <x15:extLst>
          <ext xmlns:x16="http://schemas.microsoft.com/office/spreadsheetml/2014/11/main" uri="{9835A34E-60A6-4A7C-AAB8-D5F71C897F49}">
            <x16:modelTimeGroupings>
              <x16:modelTimeGrouping tableName="Feed" columnName="Date" columnId="Calculated Column 1">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1" i="1" l="1"/>
  <c r="L19" i="1"/>
  <c r="B14" i="3"/>
  <c r="B13" i="3"/>
  <c r="B15" i="3" s="1"/>
  <c r="B11" i="3"/>
  <c r="B10" i="3"/>
  <c r="I14" i="1" l="1" a="1"/>
  <c r="I14" i="1" s="1"/>
  <c r="K4" i="1"/>
  <c r="B21" i="1" a="1"/>
  <c r="B21" i="1" s="1"/>
  <c r="K8" i="1"/>
  <c r="K7" i="1"/>
  <c r="B9" i="1"/>
  <c r="B4" i="1"/>
  <c r="K5" i="1" l="1"/>
  <c r="K9" i="1" s="1"/>
  <c r="I18" i="1" l="1" a="1"/>
  <c r="I18" i="1" s="1"/>
  <c r="B13" i="1"/>
  <c r="B20" i="1" a="1"/>
  <c r="B20" i="1" s="1"/>
  <c r="B17" i="1" s="1"/>
  <c r="M6" i="1"/>
  <c r="N6" i="1"/>
  <c r="O6" i="1"/>
  <c r="P6" i="1"/>
  <c r="L6" i="1"/>
  <c r="L7" i="1" s="1"/>
  <c r="M7" i="1" s="1"/>
  <c r="N7" i="1" s="1"/>
  <c r="O7" i="1" s="1"/>
  <c r="P7" i="1" s="1"/>
  <c r="L5" i="1"/>
  <c r="H4" i="1"/>
  <c r="I4" i="1"/>
  <c r="J4" i="1"/>
  <c r="L4" i="1"/>
  <c r="M4" i="1"/>
  <c r="N4" i="1"/>
  <c r="O4" i="1"/>
  <c r="P4" i="1"/>
  <c r="G4" i="1"/>
  <c r="B22" i="1" a="1"/>
  <c r="B22" i="1" s="1"/>
  <c r="B19" i="1" a="1"/>
  <c r="B19" i="1" s="1"/>
  <c r="B18" i="1" a="1"/>
  <c r="B18" i="1" s="1"/>
  <c r="H7" i="1"/>
  <c r="H8" i="1"/>
  <c r="G7" i="1"/>
  <c r="G5" i="1"/>
  <c r="H5" i="1"/>
  <c r="I8" i="1"/>
  <c r="G8" i="1"/>
  <c r="I5" i="1"/>
  <c r="J8" i="1"/>
  <c r="G9" i="1" l="1"/>
  <c r="H9" i="1"/>
  <c r="I6" i="1"/>
  <c r="H6" i="1"/>
  <c r="I16" i="1"/>
  <c r="L15" i="1"/>
  <c r="M5" i="1"/>
  <c r="J7" i="1"/>
  <c r="J5" i="1"/>
  <c r="I7" i="1"/>
  <c r="I9" i="1" l="1"/>
  <c r="K6" i="1"/>
  <c r="J9" i="1"/>
  <c r="J6" i="1"/>
  <c r="L9" i="1"/>
  <c r="M15" i="1"/>
  <c r="N5" i="1"/>
  <c r="M9" i="1" l="1"/>
  <c r="L10" i="1"/>
  <c r="N15" i="1"/>
  <c r="O5" i="1"/>
  <c r="N9" i="1" l="1"/>
  <c r="M10" i="1"/>
  <c r="P5" i="1"/>
  <c r="O15" i="1"/>
  <c r="B23" i="1" l="1"/>
  <c r="D29" i="1" s="1"/>
  <c r="D28" i="1"/>
  <c r="O9" i="1"/>
  <c r="N10" i="1"/>
  <c r="P15" i="1"/>
  <c r="B15" i="1" s="1"/>
  <c r="D27" i="1" l="1"/>
  <c r="P9" i="1"/>
  <c r="P10" i="1" s="1"/>
  <c r="O10" i="1"/>
  <c r="B11" i="1"/>
  <c r="B12" i="1" s="1"/>
  <c r="Q5" i="1" s="1"/>
  <c r="Q15" i="1" s="1"/>
  <c r="I15" i="1" s="1"/>
  <c r="I17" i="1" s="1"/>
  <c r="I19" i="1" s="1"/>
  <c r="I20"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1C1900-1F2C-4849-BE57-09B65262A0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B795567-AC33-4BD8-9E7B-D19F535ABC25}" name="WorksheetConnection_New Stock Valuation Model.xlsx!Table1" type="102" refreshedVersion="8" minRefreshableVersion="5">
    <extLst>
      <ext xmlns:x15="http://schemas.microsoft.com/office/spreadsheetml/2010/11/main" uri="{DE250136-89BD-433C-8126-D09CA5730AF9}">
        <x15:connection id="Table1">
          <x15:rangePr sourceName="_xlcn.WorksheetConnection_NewStockValuationModel.xlsxTable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<sst xmlns="http://schemas.openxmlformats.org/spreadsheetml/2006/main" count="162" uniqueCount="139">
  <si>
    <t>Inputs</t>
  </si>
  <si>
    <t>WACC</t>
  </si>
  <si>
    <t>Stock Ticker</t>
  </si>
  <si>
    <t>TTM FCF (millions)</t>
  </si>
  <si>
    <t>Ticker</t>
  </si>
  <si>
    <t>Price</t>
  </si>
  <si>
    <t>Market Cap</t>
  </si>
  <si>
    <t>P/E Ratio</t>
  </si>
  <si>
    <t>Shares Outstanding</t>
  </si>
  <si>
    <t>Total Shares (millions)</t>
  </si>
  <si>
    <t>Cashflows in millions</t>
  </si>
  <si>
    <t>Growth Rate</t>
  </si>
  <si>
    <t>Terminal Multiple</t>
  </si>
  <si>
    <t>Terminal Value</t>
  </si>
  <si>
    <t>time</t>
  </si>
  <si>
    <t>open</t>
  </si>
  <si>
    <t>high</t>
  </si>
  <si>
    <t>low</t>
  </si>
  <si>
    <t>close</t>
  </si>
  <si>
    <t>Volume</t>
  </si>
  <si>
    <t>Volume MA</t>
  </si>
  <si>
    <t>Total common shares outstanding</t>
  </si>
  <si>
    <t>Free cash flow</t>
  </si>
  <si>
    <t>Debt to equity ratio</t>
  </si>
  <si>
    <t>PE ratio</t>
  </si>
  <si>
    <t>PB ratio</t>
  </si>
  <si>
    <t>Total revenue</t>
  </si>
  <si>
    <t>Net income</t>
  </si>
  <si>
    <t>Price to free cash flow ratio</t>
  </si>
  <si>
    <t>Long term debt to total assets ratio</t>
  </si>
  <si>
    <t>Quick ratio</t>
  </si>
  <si>
    <t>2017-04-03T09:30:00-04:00</t>
  </si>
  <si>
    <t>NaN</t>
  </si>
  <si>
    <t>2017-07-03T09:30:00-04:00</t>
  </si>
  <si>
    <t>2017-10-02T09:30:00-04:00</t>
  </si>
  <si>
    <t>2018-01-02T09:30:00-05:00</t>
  </si>
  <si>
    <t>2018-04-02T09:30:00-04:00</t>
  </si>
  <si>
    <t>2018-07-02T09:30:00-04:00</t>
  </si>
  <si>
    <t>2018-10-01T09:30:00-04:00</t>
  </si>
  <si>
    <t>2019-04-01T09:30:00-04:00</t>
  </si>
  <si>
    <t>2019-07-01T09:30:00-04:00</t>
  </si>
  <si>
    <t>2021-01-04T09:30:00-05:00</t>
  </si>
  <si>
    <t>2022-01-03T09:30:00-05:00</t>
  </si>
  <si>
    <t>Terminal Method</t>
  </si>
  <si>
    <t>1 - Perpetuity Growth</t>
  </si>
  <si>
    <t>3 - No Growth Perpetuity</t>
  </si>
  <si>
    <t>Desc</t>
  </si>
  <si>
    <t>Value</t>
  </si>
  <si>
    <t>Terminal Methods</t>
  </si>
  <si>
    <t>2 - Exit Multiple</t>
  </si>
  <si>
    <t>Terminal Multiple OR</t>
  </si>
  <si>
    <r>
      <t>FCFF</t>
    </r>
    <r>
      <rPr>
        <b/>
        <vertAlign val="subscript"/>
        <sz val="11"/>
        <color theme="1"/>
        <rFont val="Calibri"/>
        <family val="2"/>
        <scheme val="minor"/>
      </rPr>
      <t xml:space="preserve">6 </t>
    </r>
    <r>
      <rPr>
        <b/>
        <sz val="11"/>
        <color theme="1"/>
        <rFont val="Calibri"/>
        <family val="2"/>
        <scheme val="minor"/>
      </rPr>
      <t>/ (WACC – Growth Rate)</t>
    </r>
  </si>
  <si>
    <t>EV/EBITDA</t>
  </si>
  <si>
    <r>
      <t>FCFF</t>
    </r>
    <r>
      <rPr>
        <b/>
        <vertAlign val="subscript"/>
        <sz val="11"/>
        <color theme="1"/>
        <rFont val="Calibri"/>
        <family val="2"/>
        <scheme val="minor"/>
      </rPr>
      <t xml:space="preserve">6 </t>
    </r>
    <r>
      <rPr>
        <b/>
        <sz val="11"/>
        <color theme="1"/>
        <rFont val="Calibri"/>
        <family val="2"/>
        <scheme val="minor"/>
      </rPr>
      <t>/ WACC</t>
    </r>
  </si>
  <si>
    <t>Method</t>
  </si>
  <si>
    <t>Terminal Formula</t>
  </si>
  <si>
    <t>Year</t>
  </si>
  <si>
    <t>LastQuickRatio</t>
  </si>
  <si>
    <t>LastDERatio</t>
  </si>
  <si>
    <t>Values</t>
  </si>
  <si>
    <t>LastPERatio</t>
  </si>
  <si>
    <t>LastSharesOut</t>
  </si>
  <si>
    <t>LastPBRatio</t>
  </si>
  <si>
    <t>From Feed</t>
  </si>
  <si>
    <t>Calc</t>
  </si>
  <si>
    <t>FCFF6 (millions)</t>
  </si>
  <si>
    <t>Terminal Value (millions)</t>
  </si>
  <si>
    <t>Terminal Value OR</t>
  </si>
  <si>
    <t>Present Value FFCF &gt;&gt;&gt;</t>
  </si>
  <si>
    <t>Shares Outstanding (m)</t>
  </si>
  <si>
    <t>Per Share Valuation</t>
  </si>
  <si>
    <t>&lt;&lt;Leave Blank To Use Method</t>
  </si>
  <si>
    <t>Market Price</t>
  </si>
  <si>
    <t>Discount(-Premium)</t>
  </si>
  <si>
    <t>Mature Company</t>
  </si>
  <si>
    <t>Perp Growth Rate (inflation)</t>
  </si>
  <si>
    <t>Column Labels</t>
  </si>
  <si>
    <t>Short Term Growth Rate</t>
  </si>
  <si>
    <t>Disc/(-Prem%)</t>
  </si>
  <si>
    <t>Free Cash Flow</t>
  </si>
  <si>
    <t>Actuals</t>
  </si>
  <si>
    <t>&lt;&lt;&lt;&lt;&lt;</t>
  </si>
  <si>
    <t>&gt;&gt;&gt;&gt;&gt;</t>
  </si>
  <si>
    <t>2019-01-02T09:30:00-05:00</t>
  </si>
  <si>
    <t>2019-10-01T09:30:00-04:00</t>
  </si>
  <si>
    <t>2020-01-02T09:30:00-05:00</t>
  </si>
  <si>
    <t>2020-04-01T09:30:00-04:00</t>
  </si>
  <si>
    <t>2020-07-01T09:30:00-04:00</t>
  </si>
  <si>
    <t>2020-10-01T09:30:00-04:00</t>
  </si>
  <si>
    <t>2021-04-01T09:30:00-04:00</t>
  </si>
  <si>
    <t>2021-07-01T09:30:00-04:00</t>
  </si>
  <si>
    <t>2021-10-01T09:30:00-04:00</t>
  </si>
  <si>
    <t>2022-04-01T09:30:00-04:00</t>
  </si>
  <si>
    <t>EV to EBITDA</t>
  </si>
  <si>
    <t>Mkt Cap</t>
  </si>
  <si>
    <t>Free Cash Flow (m)</t>
  </si>
  <si>
    <t>Revenue Totals (m)</t>
  </si>
  <si>
    <t>Net Income Totals (m)</t>
  </si>
  <si>
    <t>Revenue Conversion %</t>
  </si>
  <si>
    <t>LastEV_EBITDA</t>
  </si>
  <si>
    <t>2017</t>
  </si>
  <si>
    <t>2018</t>
  </si>
  <si>
    <t>2019</t>
  </si>
  <si>
    <t>2020</t>
  </si>
  <si>
    <t>2021</t>
  </si>
  <si>
    <t>2022</t>
  </si>
  <si>
    <t>TTM Free Cash Flow</t>
  </si>
  <si>
    <t>Revenue</t>
  </si>
  <si>
    <t>Net Income</t>
  </si>
  <si>
    <t>FCF % of Rev</t>
  </si>
  <si>
    <t>FCF % Rev</t>
  </si>
  <si>
    <t>Going OOB</t>
  </si>
  <si>
    <t>Declining Company</t>
  </si>
  <si>
    <t>FCF Override $</t>
  </si>
  <si>
    <t>https://www.tradingview.com/chart/RKWM6ejf/</t>
  </si>
  <si>
    <t>1. Open the link Below</t>
  </si>
  <si>
    <t>2. type the ticker into the box top left corner</t>
  </si>
  <si>
    <t>3. change the time frame to quarterly by clicking on the chart and typing '3M'</t>
  </si>
  <si>
    <t>4. click on the "hamburger" ans select export data</t>
  </si>
  <si>
    <t>5. download, you will see a csv in your downloads.  Open and paste (overwrite) into the table below, make sure proper numeric values appear in the Free cash flow and Total common shares fields</t>
  </si>
  <si>
    <t>6. table should autorefresh</t>
  </si>
  <si>
    <t>Discounted CF&gt;&gt;&gt;</t>
  </si>
  <si>
    <t>TO UNPROTECT SHEET USE: cash</t>
  </si>
  <si>
    <t>E</t>
  </si>
  <si>
    <t>D</t>
  </si>
  <si>
    <t>t</t>
  </si>
  <si>
    <t>last int exp</t>
  </si>
  <si>
    <t>risk free rate</t>
  </si>
  <si>
    <t>https://fred.stlouisfed.org/series/DGS10</t>
  </si>
  <si>
    <t>beta</t>
  </si>
  <si>
    <t>expect market return</t>
  </si>
  <si>
    <t>re</t>
  </si>
  <si>
    <t>cost of equity</t>
  </si>
  <si>
    <t>rd</t>
  </si>
  <si>
    <t>cost of debt</t>
  </si>
  <si>
    <t>E/(E+D)</t>
  </si>
  <si>
    <t>equity weight</t>
  </si>
  <si>
    <t>D/(E+D)</t>
  </si>
  <si>
    <t>debt weight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</si>
</sst>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_([$$-409]* #,##0.00_);_([$$-409]* \(#,##0.00\);_([$$-409]* &quot;-&quot;??_);_(@_)"/>
    <numFmt numFmtId="165" formatCode="#,###.00,,"/>
    <numFmt numFmtId="166" formatCode="0.0%"/>
    <numFmt numFmtId="167" formatCode="[$-F400]h:mm:ss\ AM/PM"/>
    <numFmt numFmtId="168" formatCode="0.00%;\-0.00%;0.00%"/>
  </numFmts>
  <fonts count="14" x14ac:knownFonts="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vertAlign val="subscript"/>
      <sz val="11"/>
      <color theme="1"/>
      <name val="Calibri"/>
      <family val="2"/>
      <scheme val="minor"/>
    </font>
    <font>
      <sz val="9"/>
      <color theme="1"/>
      <name val="Calibri"/>
      <family val="2"/>
      <scheme val="minor"/>
    </font>
    <font>
      <sz val="14"/>
      <color theme="1"/>
      <name val="Calibri"/>
      <family val="2"/>
      <scheme val="minor"/>
    </font>
    <font>
      <u/>
      <sz val="11"/>
      <color theme="10"/>
      <name val="Calibri"/>
      <family val="2"/>
      <scheme val="minor"/>
    </font>
    <font>
      <sz val="16"/>
      <color theme="1"/>
      <name val="Calibri"/>
      <family val="2"/>
      <scheme val="minor"/>
    </font>
    <font>
      <b/>
      <sz val="16"/>
      <color rgb="FF3F3F3F"/>
      <name val="Calibri"/>
      <family val="2"/>
      <scheme val="minor"/>
    </font>
    <font>
      <b/>
      <sz val="16"/>
      <color theme="1"/>
      <name val="Calibri"/>
      <family val="2"/>
      <scheme val="minor"/>
    </font>
    <font>
      <sz val="11"/>
      <color rgb="FF9C5700"/>
      <name val="Calibri"/>
      <family val="2"/>
      <scheme val="minor"/>
    </font>
    <font>
      <sz val="8"/>
      <color theme="1"/>
      <name val="Calibri"/>
      <family val="2"/>
      <scheme val="minor"/>
    </font>
  </fonts>
  <fills count="8">
    <fill>
      <patternFill patternType="none"/>
    </fill>
    <fill>
      <patternFill patternType="gray125"/>
    </fill>
    <fill>
      <patternFill patternType="solid">
        <fgColor rgb="FFFFCC99"/>
      </patternFill>
    </fill>
    <fill>
      <patternFill patternType="solid">
        <fgColor theme="6" tint="0.59999389629810485"/>
        <bgColor indexed="65"/>
      </patternFill>
    </fill>
    <fill>
      <patternFill patternType="solid">
        <fgColor rgb="FFF2F2F2"/>
      </patternFill>
    </fill>
    <fill>
      <patternFill patternType="solid">
        <fgColor theme="7" tint="0.79998168889431442"/>
        <bgColor indexed="65"/>
      </patternFill>
    </fill>
    <fill>
      <patternFill patternType="solid">
        <fgColor theme="9" tint="0.79998168889431442"/>
        <bgColor indexed="65"/>
      </patternFill>
    </fill>
    <fill>
      <patternFill patternType="solid">
        <fgColor rgb="FFFFEB9C"/>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4" fillId="4" borderId="2" applyNumberFormat="0" applyAlignment="0" applyProtection="0"/>
    <xf numFmtId="0" fontId="1" fillId="5" borderId="0" applyNumberFormat="0" applyBorder="0" applyAlignment="0" applyProtection="0"/>
    <xf numFmtId="0" fontId="1" fillId="6" borderId="0" applyNumberFormat="0" applyBorder="0" applyAlignment="0" applyProtection="0"/>
    <xf numFmtId="0" fontId="8" fillId="0" borderId="0" applyNumberFormat="0" applyFill="0" applyBorder="0" applyAlignment="0" applyProtection="0"/>
    <xf numFmtId="0" fontId="12" fillId="7" borderId="0" applyNumberFormat="0" applyBorder="0" applyAlignment="0" applyProtection="0"/>
  </cellStyleXfs>
  <cellXfs count="85">
    <xf numFmtId="0" fontId="0" fillId="0" borderId="0" xfId="0"/>
    <xf numFmtId="0" fontId="2" fillId="2" borderId="1" xfId="3" applyAlignment="1">
      <alignment horizontal="right"/>
    </xf>
    <xf numFmtId="166" fontId="2" fillId="2" borderId="1" xfId="3" applyNumberFormat="1"/>
    <xf numFmtId="0" fontId="1" fillId="3" borderId="0" xfId="4" applyAlignment="1">
      <alignment horizontal="right"/>
    </xf>
    <xf numFmtId="165" fontId="1" fillId="3" borderId="0" xfId="4" applyNumberFormat="1"/>
    <xf numFmtId="164" fontId="1" fillId="3" borderId="0" xfId="4" applyNumberFormat="1" applyAlignment="1">
      <alignment horizontal="right"/>
    </xf>
    <xf numFmtId="3" fontId="1" fillId="3" borderId="0" xfId="4" applyNumberFormat="1" applyAlignment="1">
      <alignment horizontal="right"/>
    </xf>
    <xf numFmtId="4" fontId="1" fillId="3" borderId="0" xfId="4" applyNumberFormat="1" applyAlignment="1">
      <alignment horizontal="right"/>
    </xf>
    <xf numFmtId="0" fontId="3" fillId="0" borderId="0" xfId="0" applyFont="1" applyAlignment="1">
      <alignment horizontal="right"/>
    </xf>
    <xf numFmtId="0" fontId="2" fillId="2" borderId="1" xfId="1" applyNumberFormat="1" applyFont="1" applyFill="1" applyBorder="1"/>
    <xf numFmtId="2" fontId="0" fillId="0" borderId="0" xfId="0" applyNumberFormat="1"/>
    <xf numFmtId="11" fontId="0" fillId="0" borderId="0" xfId="0" applyNumberFormat="1"/>
    <xf numFmtId="0" fontId="1" fillId="3" borderId="0" xfId="4" applyAlignment="1">
      <alignment horizontal="left"/>
    </xf>
    <xf numFmtId="0" fontId="3" fillId="3" borderId="0" xfId="4" applyFont="1" applyAlignment="1">
      <alignment horizontal="left"/>
    </xf>
    <xf numFmtId="166" fontId="2" fillId="2" borderId="1" xfId="3" applyNumberFormat="1" applyAlignment="1">
      <alignment horizontal="right"/>
    </xf>
    <xf numFmtId="167" fontId="0" fillId="0" borderId="0" xfId="0" applyNumberFormat="1"/>
    <xf numFmtId="0" fontId="0" fillId="0" borderId="0" xfId="0" pivotButton="1"/>
    <xf numFmtId="0" fontId="0" fillId="0" borderId="0" xfId="0" applyAlignment="1">
      <alignment horizontal="left"/>
    </xf>
    <xf numFmtId="0" fontId="3" fillId="3" borderId="0" xfId="4" applyFont="1" applyAlignment="1">
      <alignment horizontal="right"/>
    </xf>
    <xf numFmtId="0" fontId="0" fillId="3" borderId="0" xfId="4" applyFont="1" applyAlignment="1">
      <alignment horizontal="left"/>
    </xf>
    <xf numFmtId="2" fontId="1" fillId="3" borderId="0" xfId="4" applyNumberFormat="1" applyAlignment="1">
      <alignment horizontal="right"/>
    </xf>
    <xf numFmtId="1" fontId="1" fillId="3" borderId="0" xfId="4" applyNumberFormat="1" applyAlignment="1">
      <alignment horizontal="right"/>
    </xf>
    <xf numFmtId="2" fontId="6" fillId="3" borderId="0" xfId="4" applyNumberFormat="1" applyFont="1" applyAlignment="1">
      <alignment horizontal="right"/>
    </xf>
    <xf numFmtId="0" fontId="0" fillId="0" borderId="0" xfId="0" applyAlignment="1">
      <alignment horizontal="right"/>
    </xf>
    <xf numFmtId="10" fontId="2" fillId="2" borderId="1" xfId="3" applyNumberFormat="1"/>
    <xf numFmtId="0" fontId="7" fillId="0" borderId="0" xfId="0" applyFont="1"/>
    <xf numFmtId="168" fontId="0" fillId="0" borderId="0" xfId="0" applyNumberFormat="1"/>
    <xf numFmtId="1" fontId="0" fillId="0" borderId="0" xfId="0" applyNumberFormat="1"/>
    <xf numFmtId="1" fontId="0" fillId="3" borderId="0" xfId="4" applyNumberFormat="1" applyFont="1" applyAlignment="1">
      <alignment horizontal="right"/>
    </xf>
    <xf numFmtId="0" fontId="1" fillId="3" borderId="1" xfId="4" applyBorder="1"/>
    <xf numFmtId="0" fontId="1" fillId="3" borderId="1" xfId="4" applyBorder="1" applyAlignment="1">
      <alignment horizontal="right"/>
    </xf>
    <xf numFmtId="165" fontId="1" fillId="3" borderId="0" xfId="4" applyNumberFormat="1" applyAlignment="1">
      <alignment horizontal="right"/>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3" fillId="0" borderId="7" xfId="0" applyFont="1" applyBorder="1" applyAlignment="1">
      <alignment horizontal="right"/>
    </xf>
    <xf numFmtId="0" fontId="0" fillId="0" borderId="7" xfId="0" applyBorder="1"/>
    <xf numFmtId="0" fontId="0" fillId="0" borderId="9" xfId="0" applyBorder="1"/>
    <xf numFmtId="0" fontId="0" fillId="0" borderId="10" xfId="0" applyBorder="1"/>
    <xf numFmtId="0" fontId="0" fillId="0" borderId="11" xfId="0" applyBorder="1"/>
    <xf numFmtId="0" fontId="0" fillId="0" borderId="12" xfId="0" applyBorder="1"/>
    <xf numFmtId="0" fontId="1" fillId="5" borderId="0" xfId="6" applyBorder="1"/>
    <xf numFmtId="1" fontId="1" fillId="5" borderId="0" xfId="6" applyNumberFormat="1" applyBorder="1"/>
    <xf numFmtId="166" fontId="1" fillId="5" borderId="0" xfId="6" applyNumberFormat="1" applyBorder="1"/>
    <xf numFmtId="9" fontId="1" fillId="5" borderId="8" xfId="6" applyNumberFormat="1" applyBorder="1"/>
    <xf numFmtId="0" fontId="1" fillId="6" borderId="0" xfId="7" applyBorder="1"/>
    <xf numFmtId="166" fontId="1" fillId="6" borderId="0" xfId="7" applyNumberFormat="1" applyBorder="1"/>
    <xf numFmtId="1" fontId="1" fillId="6" borderId="0" xfId="7" applyNumberFormat="1" applyBorder="1" applyAlignment="1">
      <alignment horizontal="right"/>
    </xf>
    <xf numFmtId="9" fontId="1" fillId="6" borderId="8" xfId="7" applyNumberFormat="1" applyBorder="1"/>
    <xf numFmtId="1" fontId="1" fillId="6" borderId="0" xfId="7" applyNumberFormat="1" applyBorder="1"/>
    <xf numFmtId="1" fontId="0" fillId="0" borderId="7" xfId="0" applyNumberFormat="1" applyBorder="1"/>
    <xf numFmtId="0" fontId="8" fillId="0" borderId="0" xfId="8"/>
    <xf numFmtId="1" fontId="0" fillId="0" borderId="3" xfId="0" applyNumberFormat="1" applyBorder="1"/>
    <xf numFmtId="1" fontId="0" fillId="0" borderId="4" xfId="0" applyNumberFormat="1" applyBorder="1"/>
    <xf numFmtId="0" fontId="2" fillId="2" borderId="1" xfId="3"/>
    <xf numFmtId="1" fontId="0" fillId="0" borderId="14" xfId="0" applyNumberFormat="1" applyBorder="1"/>
    <xf numFmtId="1" fontId="0" fillId="0" borderId="15" xfId="0" applyNumberFormat="1" applyBorder="1"/>
    <xf numFmtId="1" fontId="0" fillId="0" borderId="16" xfId="0" applyNumberFormat="1" applyBorder="1"/>
    <xf numFmtId="0" fontId="9" fillId="0" borderId="17" xfId="0" applyFont="1" applyBorder="1"/>
    <xf numFmtId="1" fontId="2" fillId="2" borderId="13" xfId="3" applyNumberFormat="1" applyBorder="1"/>
    <xf numFmtId="0" fontId="12" fillId="7" borderId="0" xfId="9"/>
    <xf numFmtId="9" fontId="12" fillId="7" borderId="0" xfId="9" applyNumberFormat="1"/>
    <xf numFmtId="10" fontId="12" fillId="7" borderId="0" xfId="9" applyNumberFormat="1"/>
    <xf numFmtId="10" fontId="0" fillId="0" borderId="0" xfId="0" applyNumberFormat="1"/>
    <xf numFmtId="10" fontId="0" fillId="0" borderId="0" xfId="2" applyNumberFormat="1" applyFont="1"/>
    <xf numFmtId="0" fontId="3" fillId="0" borderId="0" xfId="0" applyFont="1"/>
    <xf numFmtId="166" fontId="3" fillId="0" borderId="0" xfId="2" applyNumberFormat="1" applyFont="1"/>
    <xf numFmtId="9" fontId="0" fillId="0" borderId="0" xfId="2" applyFont="1"/>
    <xf numFmtId="0" fontId="13" fillId="0" borderId="0" xfId="0" applyFont="1"/>
    <xf numFmtId="0" fontId="9" fillId="0" borderId="0" xfId="0" applyFont="1" applyBorder="1"/>
    <xf numFmtId="0" fontId="9" fillId="0" borderId="0" xfId="0" applyFont="1" applyBorder="1" applyAlignment="1">
      <alignment horizontal="right"/>
    </xf>
    <xf numFmtId="2" fontId="10" fillId="4" borderId="20" xfId="5" applyNumberFormat="1" applyFont="1" applyBorder="1"/>
    <xf numFmtId="44" fontId="10" fillId="4" borderId="20" xfId="5" applyNumberFormat="1" applyFont="1" applyBorder="1"/>
    <xf numFmtId="44" fontId="11" fillId="0" borderId="20" xfId="0" applyNumberFormat="1" applyFont="1" applyBorder="1"/>
    <xf numFmtId="0" fontId="13" fillId="0" borderId="18" xfId="0" applyFont="1" applyBorder="1"/>
    <xf numFmtId="0" fontId="0" fillId="0" borderId="19" xfId="0" applyBorder="1"/>
    <xf numFmtId="0" fontId="0" fillId="0" borderId="21" xfId="0" applyBorder="1"/>
    <xf numFmtId="0" fontId="0" fillId="0" borderId="22" xfId="0" applyBorder="1"/>
    <xf numFmtId="0" fontId="0" fillId="0" borderId="23" xfId="0" applyBorder="1"/>
    <xf numFmtId="0" fontId="11" fillId="0" borderId="24" xfId="0" applyFont="1" applyBorder="1" applyAlignment="1">
      <alignment horizontal="right"/>
    </xf>
    <xf numFmtId="0" fontId="9" fillId="0" borderId="25" xfId="0" applyFont="1" applyBorder="1"/>
    <xf numFmtId="0" fontId="9" fillId="0" borderId="8" xfId="0" applyFont="1" applyBorder="1"/>
    <xf numFmtId="0" fontId="9" fillId="0" borderId="8" xfId="0" applyFont="1" applyBorder="1" applyAlignment="1">
      <alignment horizontal="right"/>
    </xf>
    <xf numFmtId="9" fontId="11" fillId="0" borderId="26" xfId="2" applyFont="1" applyBorder="1"/>
  </cellXfs>
  <cellStyles count="10">
    <cellStyle name="20% - Accent4" xfId="6" builtinId="42"/>
    <cellStyle name="20% - Accent6" xfId="7" builtinId="50"/>
    <cellStyle name="40% - Accent3" xfId="4" builtinId="39"/>
    <cellStyle name="Comma" xfId="1" builtinId="3"/>
    <cellStyle name="Hyperlink" xfId="8" builtinId="8"/>
    <cellStyle name="Input" xfId="3" builtinId="20"/>
    <cellStyle name="Neutral" xfId="9" builtinId="28"/>
    <cellStyle name="Normal" xfId="0" builtinId="0"/>
    <cellStyle name="Output" xfId="5" builtinId="21"/>
    <cellStyle name="Percent" xfId="2" builtinId="5"/>
  </cellStyles>
  <dxfs count="19">
    <dxf>
      <numFmt numFmtId="2" formatCode="0.00"/>
    </dxf>
    <dxf>
      <numFmt numFmtId="2" formatCode="0.00"/>
    </dxf>
    <dxf>
      <alignment horizontal="right"/>
    </dxf>
    <dxf>
      <alignment horizontal="left" relativeIndent="1"/>
    </dxf>
    <dxf>
      <alignment relativeIndent="-1"/>
    </dxf>
    <dxf>
      <alignment horizontal="right"/>
    </dxf>
    <dxf>
      <numFmt numFmtId="2" formatCode="0.00"/>
    </dxf>
    <dxf>
      <numFmt numFmtId="1" formatCode="0"/>
    </dxf>
    <dxf>
      <numFmt numFmtId="1" formatCode="0"/>
    </dxf>
    <dxf>
      <numFmt numFmtId="2" formatCode="0.00"/>
    </dxf>
    <dxf>
      <numFmt numFmtId="2" formatCode="0.00"/>
    </dxf>
    <dxf>
      <alignment horizontal="right"/>
    </dxf>
    <dxf>
      <alignment horizontal="left" relativeIndent="1"/>
    </dxf>
    <dxf>
      <alignment relativeIndent="-1"/>
    </dxf>
    <dxf>
      <alignment horizontal="right"/>
    </dxf>
    <dxf>
      <numFmt numFmtId="2" formatCode="0.00"/>
    </dxf>
    <dxf>
      <numFmt numFmtId="1" formatCode="0"/>
    </dxf>
    <dxf>
      <numFmt numFmtId="1" formatCode="0"/>
    </dxf>
    <dxf>
      <numFmt numFmtId="167" formatCode="[$-F400]h:mm:ss\ AM/PM"/>
    </dxf>
  </dxfs>
  <tableStyles count="1" defaultTableStyle="TableStyleMedium2" defaultPivotStyle="PivotStyleLight16">
    <tableStyle name="Invisible" pivot="0" table="0" count="0" xr9:uid="{4DB2A934-A02B-4DFA-9DD9-3175AB536A7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ichStyles" Target="richData/richStyles.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connections" Target="connections.xml"/><Relationship Id="rId12" Type="http://schemas.microsoft.com/office/2017/06/relationships/rdRichValueStructure" Target="richData/rdrichvaluestructure.xml"/><Relationship Id="rId17" Type="http://schemas.openxmlformats.org/officeDocument/2006/relationships/powerPivotData" Target="model/item.data"/><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pivotCacheDefinition" Target="pivotCache/pivotCacheDefinition1.xml"/><Relationship Id="rId15" Type="http://schemas.microsoft.com/office/2017/06/relationships/rdSupportingPropertyBag" Target="richData/rdsupportingpropertybag.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sheetMetadata" Target="metadata.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externalLink" Target="externalLinks/externalLink1.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8"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133350</xdr:colOff>
      <xdr:row>0</xdr:row>
      <xdr:rowOff>142875</xdr:rowOff>
    </xdr:from>
    <xdr:to>
      <xdr:col>16</xdr:col>
      <xdr:colOff>296234</xdr:colOff>
      <xdr:row>5</xdr:row>
      <xdr:rowOff>66797</xdr:rowOff>
    </xdr:to>
    <xdr:pic>
      <xdr:nvPicPr>
        <xdr:cNvPr id="2" name="Picture 1">
          <a:extLst>
            <a:ext uri="{FF2B5EF4-FFF2-40B4-BE49-F238E27FC236}">
              <a16:creationId xmlns:a16="http://schemas.microsoft.com/office/drawing/2014/main" id="{139FEEDF-D30F-4758-9D26-09D692ACB924}"/>
            </a:ext>
          </a:extLst>
        </xdr:cNvPr>
        <xdr:cNvPicPr>
          <a:picLocks noChangeAspect="1"/>
        </xdr:cNvPicPr>
      </xdr:nvPicPr>
      <xdr:blipFill>
        <a:blip xmlns:r="http://schemas.openxmlformats.org/officeDocument/2006/relationships" r:embed="rId1"/>
        <a:stretch>
          <a:fillRect/>
        </a:stretch>
      </xdr:blipFill>
      <xdr:spPr>
        <a:xfrm>
          <a:off x="3486150" y="142875"/>
          <a:ext cx="6868484" cy="87642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axwe\OneDrive\Documents\Templates\Stock%20Valuation%20Model%20Lite.xlt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WACC"/>
    </sheetNames>
    <sheetDataSet>
      <sheetData sheetId="0">
        <row r="2">
          <cell r="B2" t="e">
            <v>#VALUE!</v>
          </cell>
        </row>
        <row r="3">
          <cell r="B3">
            <v>716.6</v>
          </cell>
        </row>
        <row r="4">
          <cell r="B4">
            <v>0.1168</v>
          </cell>
        </row>
        <row r="5">
          <cell r="B5">
            <v>2021</v>
          </cell>
        </row>
        <row r="6">
          <cell r="B6">
            <v>0.03</v>
          </cell>
        </row>
        <row r="7">
          <cell r="B7">
            <v>1.4999999999999999E-2</v>
          </cell>
        </row>
        <row r="8">
          <cell r="B8">
            <v>6.03</v>
          </cell>
        </row>
        <row r="9">
          <cell r="B9" t="str">
            <v>2 - Exit Multiple</v>
          </cell>
          <cell r="K9">
            <v>4143.6911927389283</v>
          </cell>
        </row>
        <row r="10">
          <cell r="B10">
            <v>4321.098</v>
          </cell>
        </row>
        <row r="11">
          <cell r="B11">
            <v>7.6784792115487743</v>
          </cell>
          <cell r="K11">
            <v>28.795630248359473</v>
          </cell>
        </row>
        <row r="15">
          <cell r="B15">
            <v>671.95818967206094</v>
          </cell>
        </row>
        <row r="26">
          <cell r="B26">
            <v>143900000</v>
          </cell>
        </row>
        <row r="31">
          <cell r="A31" t="str">
            <v>Desc</v>
          </cell>
          <cell r="B31" t="str">
            <v>Value</v>
          </cell>
          <cell r="C31" t="str">
            <v>Method</v>
          </cell>
          <cell r="D31" t="str">
            <v>Calc</v>
          </cell>
        </row>
        <row r="32">
          <cell r="A32" t="str">
            <v>1 - Perpetuity Growth</v>
          </cell>
          <cell r="B32">
            <v>1</v>
          </cell>
          <cell r="C32" t="str">
            <v>FCFF6 / (WACC – Growth Rate)</v>
          </cell>
          <cell r="D32">
            <v>6600.7680714347835</v>
          </cell>
        </row>
        <row r="33">
          <cell r="A33" t="str">
            <v>2 - Exit Multiple</v>
          </cell>
          <cell r="B33">
            <v>2</v>
          </cell>
          <cell r="C33" t="str">
            <v>EV/EBITDA</v>
          </cell>
          <cell r="D33">
            <v>4321.098</v>
          </cell>
        </row>
        <row r="34">
          <cell r="A34" t="str">
            <v>3 - No Growth Perpetuity</v>
          </cell>
          <cell r="B34">
            <v>3</v>
          </cell>
          <cell r="C34" t="str">
            <v>FCFF6 / WACC</v>
          </cell>
          <cell r="D34">
            <v>5753.0666923977824</v>
          </cell>
        </row>
      </sheetData>
      <sheetData sheetId="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Robert Maxwell" refreshedDate="44904.501895601854" backgroundQuery="1" createdVersion="7" refreshedVersion="8" minRefreshableVersion="3" recordCount="0" supportSubquery="1" supportAdvancedDrill="1" xr:uid="{D4742CDD-DA58-4F30-90D6-6F6D2D358F4D}">
  <cacheSource type="external" connectionId="1"/>
  <cacheFields count="12">
    <cacheField name="[Measures].[LastQuickRatio]" caption="LastQuickRatio" numFmtId="0" hierarchy="27" level="32767"/>
    <cacheField name="[Measures].[LastDERatio]" caption="LastDERatio" numFmtId="0" hierarchy="29" level="32767"/>
    <cacheField name="[Measures].[LastPERatio]" caption="LastPERatio" numFmtId="0" hierarchy="30" level="32767"/>
    <cacheField name="[Measures].[LastSharesOut]" caption="LastSharesOut" numFmtId="0" hierarchy="31" level="32767"/>
    <cacheField name="[Measures].[LastPBRatio]" caption="LastPBRatio" numFmtId="0" hierarchy="28" level="32767"/>
    <cacheField name="[Feed].[Date (Year)].[Date (Year)]" caption="Date (Year)" numFmtId="0" hierarchy="20" level="1">
      <sharedItems count="6">
        <s v="2017"/>
        <s v="2018"/>
        <s v="2019"/>
        <s v="2020"/>
        <s v="2021"/>
        <s v="2022"/>
      </sharedItems>
    </cacheField>
    <cacheField name="[Measures].[Free Cash Flow (m)]" caption="Free Cash Flow (m)" numFmtId="0" hierarchy="32" level="32767"/>
    <cacheField name="[Measures].[Revenue Totals (m)]" caption="Revenue Totals (m)" numFmtId="0" hierarchy="33" level="32767"/>
    <cacheField name="[Measures].[Net Income Totals (m)]" caption="Net Income Totals (m)" numFmtId="0" hierarchy="34" level="32767"/>
    <cacheField name="[Measures].[Revenue Conversion %]" caption="Revenue Conversion %" numFmtId="0" hierarchy="35" level="32767"/>
    <cacheField name="[Measures].[LastEV_EBITDA]" caption="LastEV_EBITDA" numFmtId="0" hierarchy="36" level="32767"/>
    <cacheField name="[Measures].[TTM Free Cash Flow]" caption="TTM Free Cash Flow" numFmtId="0" hierarchy="37" level="32767"/>
  </cacheFields>
  <cacheHierarchies count="40">
    <cacheHierarchy uniqueName="[Feed].[time]" caption="time" attribute="1" defaultMemberUniqueName="[Feed].[time].[All]" allUniqueName="[Feed].[time].[All]" dimensionUniqueName="[Feed]" displayFolder="" count="0" memberValueDatatype="130" unbalanced="0"/>
    <cacheHierarchy uniqueName="[Feed].[open]" caption="open" attribute="1" defaultMemberUniqueName="[Feed].[open].[All]" allUniqueName="[Feed].[open].[All]" dimensionUniqueName="[Feed]" displayFolder="" count="0" memberValueDatatype="5" unbalanced="0"/>
    <cacheHierarchy uniqueName="[Feed].[high]" caption="high" attribute="1" defaultMemberUniqueName="[Feed].[high].[All]" allUniqueName="[Feed].[high].[All]" dimensionUniqueName="[Feed]" displayFolder="" count="0" memberValueDatatype="5" unbalanced="0"/>
    <cacheHierarchy uniqueName="[Feed].[low]" caption="low" attribute="1" defaultMemberUniqueName="[Feed].[low].[All]" allUniqueName="[Feed].[low].[All]" dimensionUniqueName="[Feed]" displayFolder="" count="0" memberValueDatatype="5" unbalanced="0"/>
    <cacheHierarchy uniqueName="[Feed].[close]" caption="close" attribute="1" defaultMemberUniqueName="[Feed].[close].[All]" allUniqueName="[Feed].[close].[All]" dimensionUniqueName="[Feed]" displayFolder="" count="0" memberValueDatatype="5" unbalanced="0"/>
    <cacheHierarchy uniqueName="[Feed].[Volume]" caption="Volume" attribute="1" defaultMemberUniqueName="[Feed].[Volume].[All]" allUniqueName="[Feed].[Volume].[All]" dimensionUniqueName="[Feed]" displayFolder="" count="0" memberValueDatatype="20" unbalanced="0"/>
    <cacheHierarchy uniqueName="[Feed].[Volume MA]" caption="Volume MA" attribute="1" defaultMemberUniqueName="[Feed].[Volume MA].[All]" allUniqueName="[Feed].[Volume MA].[All]" dimensionUniqueName="[Feed]" displayFolder="" count="0" memberValueDatatype="130" unbalanced="0"/>
    <cacheHierarchy uniqueName="[Feed].[Mkt Cap]" caption="Mkt Cap" attribute="1" defaultMemberUniqueName="[Feed].[Mkt Cap].[All]" allUniqueName="[Feed].[Mkt Cap].[All]" dimensionUniqueName="[Feed]" displayFolder="" count="0" memberValueDatatype="5" unbalanced="0"/>
    <cacheHierarchy uniqueName="[Feed].[Total common shares outstanding]" caption="Total common shares outstanding" attribute="1" defaultMemberUniqueName="[Feed].[Total common shares outstanding].[All]" allUniqueName="[Feed].[Total common shares outstanding].[All]" dimensionUniqueName="[Feed]" displayFolder="" count="0" memberValueDatatype="20" unbalanced="0"/>
    <cacheHierarchy uniqueName="[Feed].[Free cash flow]" caption="Free cash flow" attribute="1" defaultMemberUniqueName="[Feed].[Free cash flow].[All]" allUniqueName="[Feed].[Free cash flow].[All]" dimensionUniqueName="[Feed]" displayFolder="" count="0" memberValueDatatype="5" unbalanced="0"/>
    <cacheHierarchy uniqueName="[Feed].[Debt to equity ratio]" caption="Debt to equity ratio" attribute="1" defaultMemberUniqueName="[Feed].[Debt to equity ratio].[All]" allUniqueName="[Feed].[Debt to equity ratio].[All]" dimensionUniqueName="[Feed]" displayFolder="" count="0" memberValueDatatype="5" unbalanced="0"/>
    <cacheHierarchy uniqueName="[Feed].[PE ratio]" caption="PE ratio" attribute="1" defaultMemberUniqueName="[Feed].[PE ratio].[All]" allUniqueName="[Feed].[PE ratio].[All]" dimensionUniqueName="[Feed]" displayFolder="" count="0" memberValueDatatype="5" unbalanced="0"/>
    <cacheHierarchy uniqueName="[Feed].[PB ratio]" caption="PB ratio" attribute="1" defaultMemberUniqueName="[Feed].[PB ratio].[All]" allUniqueName="[Feed].[PB ratio].[All]" dimensionUniqueName="[Feed]" displayFolder="" count="0" memberValueDatatype="5" unbalanced="0"/>
    <cacheHierarchy uniqueName="[Feed].[Total revenue]" caption="Total revenue" attribute="1" defaultMemberUniqueName="[Feed].[Total revenue].[All]" allUniqueName="[Feed].[Total revenue].[All]" dimensionUniqueName="[Feed]" displayFolder="" count="0" memberValueDatatype="20" unbalanced="0"/>
    <cacheHierarchy uniqueName="[Feed].[Net income]" caption="Net income" attribute="1" defaultMemberUniqueName="[Feed].[Net income].[All]" allUniqueName="[Feed].[Net income].[All]" dimensionUniqueName="[Feed]" displayFolder="" count="0" memberValueDatatype="5" unbalanced="0"/>
    <cacheHierarchy uniqueName="[Feed].[Price to free cash flow ratio]" caption="Price to free cash flow ratio" attribute="1" defaultMemberUniqueName="[Feed].[Price to free cash flow ratio].[All]" allUniqueName="[Feed].[Price to free cash flow ratio].[All]" dimensionUniqueName="[Feed]" displayFolder="" count="0" memberValueDatatype="5" unbalanced="0"/>
    <cacheHierarchy uniqueName="[Feed].[Long term debt to total assets ratio]" caption="Long term debt to total assets ratio" attribute="1" defaultMemberUniqueName="[Feed].[Long term debt to total assets ratio].[All]" allUniqueName="[Feed].[Long term debt to total assets ratio].[All]" dimensionUniqueName="[Feed]" displayFolder="" count="0" memberValueDatatype="5" unbalanced="0"/>
    <cacheHierarchy uniqueName="[Feed].[Quick ratio]" caption="Quick ratio" attribute="1" defaultMemberUniqueName="[Feed].[Quick ratio].[All]" allUniqueName="[Feed].[Quick ratio].[All]" dimensionUniqueName="[Feed]" displayFolder="" count="0" memberValueDatatype="5" unbalanced="0"/>
    <cacheHierarchy uniqueName="[Feed].[Date]" caption="Date" attribute="1" time="1" defaultMemberUniqueName="[Feed].[Date].[All]" allUniqueName="[Feed].[Date].[All]" dimensionUniqueName="[Feed]" displayFolder="" count="0" memberValueDatatype="7" unbalanced="0"/>
    <cacheHierarchy uniqueName="[Feed].[Year]" caption="Year" attribute="1" defaultMemberUniqueName="[Feed].[Year].[All]" allUniqueName="[Feed].[Year].[All]" dimensionUniqueName="[Feed]" displayFolder="" count="0" memberValueDatatype="20" unbalanced="0"/>
    <cacheHierarchy uniqueName="[Feed].[Date (Year)]" caption="Date (Year)" attribute="1" defaultMemberUniqueName="[Feed].[Date (Year)].[All]" allUniqueName="[Feed].[Date (Year)].[All]" dimensionUniqueName="[Feed]" displayFolder="" count="2" memberValueDatatype="130" unbalanced="0">
      <fieldsUsage count="2">
        <fieldUsage x="-1"/>
        <fieldUsage x="5"/>
      </fieldsUsage>
    </cacheHierarchy>
    <cacheHierarchy uniqueName="[Feed].[Date (Quarter)]" caption="Date (Quarter)" attribute="1" defaultMemberUniqueName="[Feed].[Date (Quarter)].[All]" allUniqueName="[Feed].[Date (Quarter)].[All]" dimensionUniqueName="[Feed]" displayFolder="" count="0" memberValueDatatype="130" unbalanced="0"/>
    <cacheHierarchy uniqueName="[Feed].[Date (Month)]" caption="Date (Month)" attribute="1" defaultMemberUniqueName="[Feed].[Date (Month)].[All]" allUniqueName="[Feed].[Date (Month)].[All]" dimensionUniqueName="[Feed]" displayFolder="" count="0" memberValueDatatype="130" unbalanced="0"/>
    <cacheHierarchy uniqueName="[Feed].[Calculated Column 1]" caption="Calculated Column 1" attribute="1" defaultMemberUniqueName="[Feed].[Calculated Column 1].[All]" allUniqueName="[Feed].[Calculated Column 1].[All]" dimensionUniqueName="[Feed]" displayFolder="" count="0" memberValueDatatype="5" unbalanced="0"/>
    <cacheHierarchy uniqueName="[Feed].[EV to EBITDA]" caption="EV to EBITDA" attribute="1" defaultMemberUniqueName="[Feed].[EV to EBITDA].[All]" allUniqueName="[Feed].[EV to EBITDA].[All]" dimensionUniqueName="[Feed]" displayFolder="" count="0" memberValueDatatype="5" unbalanced="0"/>
    <cacheHierarchy uniqueName="[Feed].[Date (Month Index)]" caption="Date (Month Index)" attribute="1" defaultMemberUniqueName="[Feed].[Date (Month Index)].[All]" allUniqueName="[Feed].[Date (Month Index)].[All]" dimensionUniqueName="[Feed]" displayFolder="" count="0" memberValueDatatype="20" unbalanced="0" hidden="1"/>
    <cacheHierarchy uniqueName="[Measures].[Sum of PE ratio]" caption="Sum of PE ratio" measure="1" displayFolder="" measureGroup="Feed" count="0">
      <extLst>
        <ext xmlns:x15="http://schemas.microsoft.com/office/spreadsheetml/2010/11/main" uri="{B97F6D7D-B522-45F9-BDA1-12C45D357490}">
          <x15:cacheHierarchy aggregatedColumn="11"/>
        </ext>
      </extLst>
    </cacheHierarchy>
    <cacheHierarchy uniqueName="[Measures].[LastQuickRatio]" caption="LastQuickRatio" measure="1" displayFolder="" measureGroup="Feed" count="0" oneField="1">
      <fieldsUsage count="1">
        <fieldUsage x="0"/>
      </fieldsUsage>
    </cacheHierarchy>
    <cacheHierarchy uniqueName="[Measures].[LastPBRatio]" caption="LastPBRatio" measure="1" displayFolder="" measureGroup="Feed" count="0" oneField="1">
      <fieldsUsage count="1">
        <fieldUsage x="4"/>
      </fieldsUsage>
    </cacheHierarchy>
    <cacheHierarchy uniqueName="[Measures].[LastDERatio]" caption="LastDERatio" measure="1" displayFolder="" measureGroup="Feed" count="0" oneField="1">
      <fieldsUsage count="1">
        <fieldUsage x="1"/>
      </fieldsUsage>
    </cacheHierarchy>
    <cacheHierarchy uniqueName="[Measures].[LastPERatio]" caption="LastPERatio" measure="1" displayFolder="" measureGroup="Feed" count="0" oneField="1">
      <fieldsUsage count="1">
        <fieldUsage x="2"/>
      </fieldsUsage>
    </cacheHierarchy>
    <cacheHierarchy uniqueName="[Measures].[LastSharesOut]" caption="LastSharesOut" measure="1" displayFolder="" measureGroup="Feed" count="0" oneField="1">
      <fieldsUsage count="1">
        <fieldUsage x="3"/>
      </fieldsUsage>
    </cacheHierarchy>
    <cacheHierarchy uniqueName="[Measures].[Free Cash Flow (m)]" caption="Free Cash Flow (m)" measure="1" displayFolder="" measureGroup="Feed" count="0" oneField="1">
      <fieldsUsage count="1">
        <fieldUsage x="6"/>
      </fieldsUsage>
    </cacheHierarchy>
    <cacheHierarchy uniqueName="[Measures].[Revenue Totals (m)]" caption="Revenue Totals (m)" measure="1" displayFolder="" measureGroup="Feed" count="0" oneField="1">
      <fieldsUsage count="1">
        <fieldUsage x="7"/>
      </fieldsUsage>
    </cacheHierarchy>
    <cacheHierarchy uniqueName="[Measures].[Net Income Totals (m)]" caption="Net Income Totals (m)" measure="1" displayFolder="" measureGroup="Feed" count="0" oneField="1">
      <fieldsUsage count="1">
        <fieldUsage x="8"/>
      </fieldsUsage>
    </cacheHierarchy>
    <cacheHierarchy uniqueName="[Measures].[Revenue Conversion %]" caption="Revenue Conversion %" measure="1" displayFolder="" measureGroup="Feed" count="0" oneField="1">
      <fieldsUsage count="1">
        <fieldUsage x="9"/>
      </fieldsUsage>
    </cacheHierarchy>
    <cacheHierarchy uniqueName="[Measures].[LastEV_EBITDA]" caption="LastEV_EBITDA" measure="1" displayFolder="" measureGroup="Feed" count="0" oneField="1">
      <fieldsUsage count="1">
        <fieldUsage x="10"/>
      </fieldsUsage>
    </cacheHierarchy>
    <cacheHierarchy uniqueName="[Measures].[TTM Free Cash Flow]" caption="TTM Free Cash Flow" measure="1" displayFolder="" measureGroup="Feed" count="0" oneField="1">
      <fieldsUsage count="1">
        <fieldUsage x="11"/>
      </fieldsUsage>
    </cacheHierarchy>
    <cacheHierarchy uniqueName="[Measures].[__XL_Count Table1]" caption="__XL_Count Table1" measure="1" displayFolder="" measureGroup="Feed" count="0" hidden="1"/>
    <cacheHierarchy uniqueName="[Measures].[__No measures defined]" caption="__No measures defined" measure="1" displayFolder="" count="0" hidden="1"/>
  </cacheHierarchies>
  <kpis count="0"/>
  <dimensions count="2">
    <dimension name="Feed" uniqueName="[Feed]" caption="Feed"/>
    <dimension measure="1" name="Measures" uniqueName="[Measures]" caption="Measures"/>
  </dimensions>
  <measureGroups count="1">
    <measureGroup name="Feed" caption="Feed"/>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8BBC46-5122-4913-B5A1-152CB3059ACE}" name="PivotTable1" cacheId="151" dataOnRows="1" applyNumberFormats="0" applyBorderFormats="0" applyFontFormats="0" applyPatternFormats="0" applyAlignmentFormats="0" applyWidthHeightFormats="1" dataCaption="Values" errorCaption="ERR" showError="1" missingCaption="0" tag="e5cb674e-5003-493b-8361-aeceb9a445e0" updatedVersion="8" minRefreshableVersion="3" subtotalHiddenItems="1" colGrandTotals="0" itemPrintTitles="1" createdVersion="7" indent="0" outline="1" outlineData="1" multipleFieldFilters="0">
  <location ref="A32:G44" firstHeaderRow="1" firstDataRow="2"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Col" allDrilled="1" subtotalTop="0" showAll="0" dataSourceSort="1" defaultAttributeDrillState="1">
      <items count="7">
        <item x="0" e="0"/>
        <item x="1" e="0"/>
        <item x="2" e="0"/>
        <item x="3" e="0"/>
        <item x="4" e="0"/>
        <item x="5"/>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11">
    <i>
      <x/>
    </i>
    <i i="1">
      <x v="1"/>
    </i>
    <i i="2">
      <x v="2"/>
    </i>
    <i i="3">
      <x v="3"/>
    </i>
    <i i="4">
      <x v="4"/>
    </i>
    <i i="5">
      <x v="5"/>
    </i>
    <i i="6">
      <x v="6"/>
    </i>
    <i i="7">
      <x v="7"/>
    </i>
    <i i="8">
      <x v="8"/>
    </i>
    <i i="9">
      <x v="9"/>
    </i>
    <i i="10">
      <x v="10"/>
    </i>
  </rowItems>
  <colFields count="1">
    <field x="5"/>
  </colFields>
  <colItems count="6">
    <i>
      <x/>
    </i>
    <i>
      <x v="1"/>
    </i>
    <i>
      <x v="2"/>
    </i>
    <i>
      <x v="3"/>
    </i>
    <i>
      <x v="4"/>
    </i>
    <i>
      <x v="5"/>
    </i>
  </colItems>
  <dataFields count="11">
    <dataField fld="0" subtotal="count" baseField="0" baseItem="0"/>
    <dataField fld="1" subtotal="count" baseField="0" baseItem="0"/>
    <dataField fld="2" subtotal="count" baseField="0" baseItem="0"/>
    <dataField fld="10" subtotal="count" baseField="0" baseItem="0"/>
    <dataField fld="4" subtotal="count" baseField="0" baseItem="0"/>
    <dataField fld="3" subtotal="count" baseField="0" baseItem="0"/>
    <dataField fld="6" subtotal="count" baseField="0" baseItem="0"/>
    <dataField fld="8" subtotal="count" baseField="0" baseItem="0"/>
    <dataField fld="7" subtotal="count" baseField="0" baseItem="0"/>
    <dataField fld="9" subtotal="count" baseField="0" baseItem="0"/>
    <dataField fld="11" subtotal="count" baseField="0" baseItem="0"/>
  </dataFields>
  <formats count="9">
    <format dxfId="0">
      <pivotArea collapsedLevelsAreSubtotals="1" fieldPosition="0">
        <references count="1">
          <reference field="4294967294" count="3">
            <x v="0"/>
            <x v="1"/>
            <x v="2"/>
          </reference>
        </references>
      </pivotArea>
    </format>
    <format dxfId="1">
      <pivotArea collapsedLevelsAreSubtotals="1" fieldPosition="0">
        <references count="1">
          <reference field="4294967294" count="1">
            <x v="4"/>
          </reference>
        </references>
      </pivotArea>
    </format>
    <format dxfId="2">
      <pivotArea dataOnly="0" labelOnly="1" fieldPosition="0">
        <references count="1">
          <reference field="5" count="5">
            <x v="1"/>
            <x v="2"/>
            <x v="3"/>
            <x v="4"/>
            <x v="5"/>
          </reference>
        </references>
      </pivotArea>
    </format>
    <format dxfId="3">
      <pivotArea dataOnly="0" labelOnly="1" fieldPosition="0">
        <references count="1">
          <reference field="5" count="1">
            <x v="0"/>
          </reference>
        </references>
      </pivotArea>
    </format>
    <format dxfId="4">
      <pivotArea dataOnly="0" labelOnly="1" fieldPosition="0">
        <references count="1">
          <reference field="5" count="1">
            <x v="0"/>
          </reference>
        </references>
      </pivotArea>
    </format>
    <format dxfId="5">
      <pivotArea dataOnly="0" labelOnly="1" fieldPosition="0">
        <references count="1">
          <reference field="5" count="1">
            <x v="0"/>
          </reference>
        </references>
      </pivotArea>
    </format>
    <format dxfId="6">
      <pivotArea collapsedLevelsAreSubtotals="1" fieldPosition="0">
        <references count="1">
          <reference field="4294967294" count="1">
            <x v="3"/>
          </reference>
        </references>
      </pivotArea>
    </format>
    <format dxfId="7">
      <pivotArea collapsedLevelsAreSubtotals="1" fieldPosition="0">
        <references count="1">
          <reference field="4294967294" count="4">
            <x v="5"/>
            <x v="6"/>
            <x v="7"/>
            <x v="8"/>
          </reference>
        </references>
      </pivotArea>
    </format>
    <format dxfId="8">
      <pivotArea collapsedLevelsAreSubtotals="1" fieldPosition="0">
        <references count="1">
          <reference field="4294967294" count="1">
            <x v="10"/>
          </reference>
        </references>
      </pivotArea>
    </format>
  </formats>
  <conditionalFormats count="5">
    <conditionalFormat scope="data" priority="1">
      <pivotAreas count="1">
        <pivotArea outline="0" fieldPosition="0">
          <references count="1">
            <reference field="4294967294" count="1" selected="0">
              <x v="4"/>
            </reference>
          </references>
        </pivotArea>
      </pivotAreas>
    </conditionalFormat>
    <conditionalFormat scope="data" priority="2">
      <pivotAreas count="1">
        <pivotArea outline="0" fieldPosition="0">
          <references count="1">
            <reference field="4294967294" count="1" selected="0">
              <x v="3"/>
            </reference>
          </references>
        </pivotArea>
      </pivotAreas>
    </conditionalFormat>
    <conditionalFormat scope="data" priority="3">
      <pivotAreas count="1">
        <pivotArea outline="0" fieldPosition="0">
          <references count="1">
            <reference field="4294967294" count="1" selected="0">
              <x v="2"/>
            </reference>
          </references>
        </pivotArea>
      </pivotAreas>
    </conditionalFormat>
    <conditionalFormat scope="data" priority="4">
      <pivotAreas count="1">
        <pivotArea outline="0" fieldPosition="0">
          <references count="1">
            <reference field="4294967294" count="1" selected="0">
              <x v="0"/>
            </reference>
          </references>
        </pivotArea>
      </pivotAreas>
    </conditionalFormat>
    <conditionalFormat scope="data" priority="5">
      <pivotAreas count="1">
        <pivotArea outline="0" fieldPosition="0">
          <references count="1">
            <reference field="4294967294" count="1" selected="0">
              <x v="1"/>
            </reference>
          </references>
        </pivotArea>
      </pivotAreas>
    </conditionalFormat>
  </conditional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eed]"/>
      </x15:pivotTableUISettings>
    </ext>
    <ext xmlns:xpdl="http://schemas.microsoft.com/office/spreadsheetml/2016/pivotdefaultlayout" uri="{747A6164-185A-40DC-8AA5-F01512510D54}">
      <xpdl:pivotTableDefinition16 EnabledSubtotalsDefault="0" SubtotalsOnTopDefault="0"/>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https://www.bing.com/financeapi/forcetrigger?t=a1oyr7&amp;q=XNYS%3aBTU&amp;form=skydnc</v>
    <v>Learn more on Bing</v>
  </rv>
  <rv s="1">
    <v>en-US</v>
    <v>a1oyr7</v>
    <v>268435456</v>
    <v>1</v>
    <v>Powered by Refinitiv</v>
    <v>0</v>
    <v>PEABODY ENERGY CORPORATION (XNYS:BTU)</v>
    <v>2</v>
    <v>3</v>
    <v>Finance</v>
    <v>4</v>
    <v>33.29</v>
    <v>8.58</v>
    <v>1.0166999999999999</v>
    <v>-0.35</v>
    <v>-1.2153000000000001E-2</v>
    <v>USD</v>
    <v>Peabody Energy Corporation is a producer of metallurgical and thermal coal. The Company’s segments include Seaborne Thermal Mining, Seaborne Metallurgical Mining, Powder River Basin Mining and Other United States (U.S.) Thermal Mining. The Company’s Seaborne Thermal Mining segment consists of mines in New South Wales, Australia. Its Seaborne Metallurgical Mining segment consists of mines in Queensland, Australia, one in New South Wales, Australia and one in Alabama, the United States. The Company’s Powder River Basin Mining segment consists of its mines in Wyoming. Its Other U.S. Thermal Mining segment includes operations that reflect the aggregation of its Illinois, Indiana, New Mexico and Colorado mining operations. The Company owns interests in over 17 coal mining operations located in the United States and Australia. It markets and brokers coal from other coal producers, both as principal and agent, and trades coal and freight-related contracts.</v>
    <v>4900</v>
    <v>New York Stock Exchange</v>
    <v>XNYS</v>
    <v>XNYS</v>
    <v>701 MARKET ST, ST. LOUIS, MO, 63101-1826 US</v>
    <v>29.32</v>
    <v>Coal</v>
    <v>Stock</v>
    <v>44904.758875450781</v>
    <v>0</v>
    <v>28.32</v>
    <v>4093955000</v>
    <v>PEABODY ENERGY CORPORATION</v>
    <v>PEABODY ENERGY CORPORATION</v>
    <v>28.79</v>
    <v>3.6911999999999998</v>
    <v>28.8</v>
    <v>28.45</v>
    <v>143900000</v>
    <v>BTU</v>
    <v>PEABODY ENERGY CORPORATION (XNYS:BTU)</v>
    <v>1107912</v>
    <v>5166189</v>
    <v>1998</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27" formatCode="m/d/yyyy\ h:mm"/>
    </x:dxf>
    <x:dxf>
      <x:numFmt numFmtId="14" formatCode="0.00%"/>
    </x:dxf>
    <x:dxf>
      <x:numFmt numFmtId="3" formatCode="#,##0"/>
    </x:dxf>
    <x:dxf>
      <x:numFmt numFmtId="4" formatCode="#,##0.00"/>
    </x:dxf>
    <x:dxf>
      <x:numFmt numFmtId="1" formatCode="0"/>
    </x:dxf>
    <x:dxf>
      <x:numFmt numFmtId="0" formatCode="General"/>
    </x:dxf>
  </dxfs>
  <richProperties>
    <rPr n="NumberFormat" t="s"/>
    <rPr n="IsTitleField" t="b"/>
  </richProperties>
  <richStyles>
    <rSty dxfid="6">
      <rpv i="0">_([$$-en-US]* #,##0.00_);_([$$-en-US]* (#,##0.00);_([$$-en-US]* "-"??_);_(@_)</rpv>
    </rSty>
    <rSty dxfid="4">
      <rpv i="0">#,##0.00</rpv>
    </rSty>
    <rSty>
      <rpv i="1">1</rpv>
    </rSty>
    <rSty dxfid="3">
      <rpv i="0">#,##0</rpv>
    </rSty>
    <rSty dxfid="2"/>
    <rSty dxfid="6">
      <rpv i="0">_([$$-en-US]* #,##0_);_([$$-en-US]* (#,##0);_([$$-en-US]* "-"_);_(@_)</rpv>
    </rSty>
    <rSty dxfid="1"/>
    <rSty dxfid="5">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3607A2-163B-46AE-BFB1-3F2C0D56582A}" name="Table1" displayName="Table1" ref="A9:S272" totalsRowShown="0">
  <autoFilter ref="A9:S272" xr:uid="{153607A2-163B-46AE-BFB1-3F2C0D56582A}"/>
  <tableColumns count="19">
    <tableColumn id="1" xr3:uid="{CE53E7D8-F3A3-44CB-981A-0A11529ADF7D}" name="time" dataDxfId="18"/>
    <tableColumn id="2" xr3:uid="{088E3172-B4C3-47BE-A0A1-532A15BCB10B}" name="open"/>
    <tableColumn id="3" xr3:uid="{0216117E-807F-4A28-9106-AA1EC8A35FC8}" name="high"/>
    <tableColumn id="4" xr3:uid="{AF7710C6-8C80-4263-88BA-D50AEAB48CB4}" name="low"/>
    <tableColumn id="5" xr3:uid="{1C0F1D22-3749-4135-9D02-0DF24C028666}" name="close"/>
    <tableColumn id="6" xr3:uid="{D76D98AB-8923-409A-8DA2-D5F2AA9EEB16}" name="Volume"/>
    <tableColumn id="7" xr3:uid="{22E7C701-07C5-431F-B6FA-ECD8A69095EB}" name="Volume MA"/>
    <tableColumn id="8" xr3:uid="{DC900998-50B7-4948-88A6-58E6A3DEDEF4}" name="Mkt Cap"/>
    <tableColumn id="9" xr3:uid="{A8D4FFDC-1841-4FCC-8938-AC5139A65518}" name="Total common shares outstanding"/>
    <tableColumn id="10" xr3:uid="{BAF7BFAA-58BC-4F26-A692-D4C07E15C9D5}" name="Free cash flow"/>
    <tableColumn id="11" xr3:uid="{C411AA1F-FACA-47D5-8276-0EA9B39F2192}" name="Debt to equity ratio"/>
    <tableColumn id="12" xr3:uid="{1279DEA7-E314-41E7-9115-C4F12BC29DB6}" name="PE ratio"/>
    <tableColumn id="13" xr3:uid="{796A3B20-11CD-402D-836D-466AA1778814}" name="PB ratio"/>
    <tableColumn id="14" xr3:uid="{38C4EBB5-352D-45B7-87DE-81689217FF2E}" name="Total revenue"/>
    <tableColumn id="15" xr3:uid="{DB54E0B5-7706-44C3-ABE1-B7C189E31305}" name="Net income"/>
    <tableColumn id="16" xr3:uid="{D402C853-4527-4D22-8968-778FDF57FBE5}" name="Price to free cash flow ratio"/>
    <tableColumn id="17" xr3:uid="{236E2924-D3E1-4B54-ABFF-31C29A89724E}" name="Long term debt to total assets ratio"/>
    <tableColumn id="18" xr3:uid="{4AC7FAF5-B759-402A-A016-58C8313BFFC8}" name="Quick ratio"/>
    <tableColumn id="19" xr3:uid="{9801616D-860D-43FD-AAA2-EF5896BF6F33}" name="EV to EBITD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tradingview.com/chart/RKWM6ejf/"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5940A-26A6-4085-B5DF-1434A8D7D131}">
  <dimension ref="A1:Q44"/>
  <sheetViews>
    <sheetView tabSelected="1" workbookViewId="0">
      <selection activeCell="J17" sqref="J17"/>
    </sheetView>
  </sheetViews>
  <sheetFormatPr defaultRowHeight="15" x14ac:dyDescent="0.25"/>
  <cols>
    <col min="1" max="1" width="26.5703125" bestFit="1" customWidth="1"/>
    <col min="2" max="2" width="44" bestFit="1" customWidth="1"/>
    <col min="3" max="3" width="12" bestFit="1" customWidth="1"/>
    <col min="4" max="4" width="11" bestFit="1" customWidth="1"/>
    <col min="5" max="5" width="12" bestFit="1" customWidth="1"/>
    <col min="6" max="6" width="14.28515625" customWidth="1"/>
    <col min="7" max="8" width="12" bestFit="1" customWidth="1"/>
    <col min="9" max="9" width="15.28515625" customWidth="1"/>
    <col min="11" max="11" width="13.140625" bestFit="1" customWidth="1"/>
    <col min="17" max="17" width="13.7109375" customWidth="1"/>
  </cols>
  <sheetData>
    <row r="1" spans="1:17" x14ac:dyDescent="0.25">
      <c r="A1" t="s">
        <v>122</v>
      </c>
    </row>
    <row r="2" spans="1:17" ht="18.75" x14ac:dyDescent="0.3">
      <c r="A2" s="8" t="s">
        <v>0</v>
      </c>
      <c r="F2" s="25" t="s">
        <v>10</v>
      </c>
    </row>
    <row r="3" spans="1:17" x14ac:dyDescent="0.25">
      <c r="A3" s="1" t="s">
        <v>2</v>
      </c>
      <c r="B3" s="1" t="e" vm="1">
        <v>#VALUE!</v>
      </c>
      <c r="F3" s="39"/>
      <c r="G3" s="33">
        <v>-4</v>
      </c>
      <c r="H3" s="33">
        <v>-3</v>
      </c>
      <c r="I3" s="33">
        <v>-2</v>
      </c>
      <c r="J3" s="33">
        <v>-1</v>
      </c>
      <c r="K3" s="33">
        <v>0</v>
      </c>
      <c r="L3" s="33">
        <v>1</v>
      </c>
      <c r="M3" s="33">
        <v>2</v>
      </c>
      <c r="N3" s="33">
        <v>3</v>
      </c>
      <c r="O3" s="33">
        <v>4</v>
      </c>
      <c r="P3" s="33">
        <v>5</v>
      </c>
      <c r="Q3" s="34">
        <v>6</v>
      </c>
    </row>
    <row r="4" spans="1:17" x14ac:dyDescent="0.25">
      <c r="A4" s="30" t="s">
        <v>3</v>
      </c>
      <c r="B4" s="29">
        <f>GETPIVOTDATA("[Measures].[TTM Free Cash Flow]",$A$32,"[Feed].[Date (Year)]","[Feed].[Date (Year)].&amp;["&amp;seed_year&amp;"]")</f>
        <v>716.599999999999</v>
      </c>
      <c r="F4" s="40"/>
      <c r="G4" s="42">
        <f t="shared" ref="G4:P4" si="0">seed_year+G3</f>
        <v>2017</v>
      </c>
      <c r="H4" s="42">
        <f t="shared" si="0"/>
        <v>2018</v>
      </c>
      <c r="I4" s="42">
        <f t="shared" si="0"/>
        <v>2019</v>
      </c>
      <c r="J4" s="42">
        <f t="shared" si="0"/>
        <v>2020</v>
      </c>
      <c r="K4" s="42">
        <f>seed_year+K3</f>
        <v>2021</v>
      </c>
      <c r="L4" s="46">
        <f t="shared" si="0"/>
        <v>2022</v>
      </c>
      <c r="M4" s="46">
        <f t="shared" si="0"/>
        <v>2023</v>
      </c>
      <c r="N4" s="46">
        <f t="shared" si="0"/>
        <v>2024</v>
      </c>
      <c r="O4" s="46">
        <f t="shared" si="0"/>
        <v>2025</v>
      </c>
      <c r="P4" s="46">
        <f t="shared" si="0"/>
        <v>2026</v>
      </c>
      <c r="Q4" s="36" t="s">
        <v>13</v>
      </c>
    </row>
    <row r="5" spans="1:17" x14ac:dyDescent="0.25">
      <c r="A5" s="1" t="s">
        <v>1</v>
      </c>
      <c r="B5" s="24">
        <v>0.1168</v>
      </c>
      <c r="F5" s="40" t="s">
        <v>79</v>
      </c>
      <c r="G5" s="43">
        <f>GETPIVOTDATA("[Measures].[Free Cash Flow (m)]",$A$32,"[Feed].[Date (Year)]","[Feed].[Date (Year)].&amp;["&amp;G4&amp;"]")</f>
        <v>810</v>
      </c>
      <c r="H5" s="43">
        <f t="shared" ref="H5:J5" si="1">GETPIVOTDATA("[Measures].[Free Cash Flow (m)]",$A$32,"[Feed].[Date (Year)]","[Feed].[Date (Year)].&amp;["&amp;H4&amp;"]")</f>
        <v>1650.7</v>
      </c>
      <c r="I5" s="43">
        <f t="shared" si="1"/>
        <v>794.4</v>
      </c>
      <c r="J5" s="43">
        <f t="shared" si="1"/>
        <v>129.19999999999999</v>
      </c>
      <c r="K5" s="43">
        <f>FCF</f>
        <v>716.599999999999</v>
      </c>
      <c r="L5" s="50">
        <f>IF(ISBLANK(L12),K5*(1+L6),L12)</f>
        <v>738.09799999999893</v>
      </c>
      <c r="M5" s="50">
        <f>IF(ISBLANK(M12),L5*(1+M6),M12)</f>
        <v>760.24093999999889</v>
      </c>
      <c r="N5" s="50">
        <f>IF(ISBLANK(N12),M5*(1+N6),N12)</f>
        <v>783.04816819999883</v>
      </c>
      <c r="O5" s="50">
        <f>IF(ISBLANK(O12),N5*(1+O6),O12)</f>
        <v>806.53961324599879</v>
      </c>
      <c r="P5" s="50">
        <f>IF(ISBLANK(P12),O5*(1+P6),P12)</f>
        <v>830.73580164337875</v>
      </c>
      <c r="Q5" s="51">
        <f>P5*terminal_mult</f>
        <v>8492.6540390508235</v>
      </c>
    </row>
    <row r="6" spans="1:17" x14ac:dyDescent="0.25">
      <c r="A6" s="1" t="s">
        <v>56</v>
      </c>
      <c r="B6" s="9">
        <v>2021</v>
      </c>
      <c r="F6" s="40" t="s">
        <v>11</v>
      </c>
      <c r="G6" s="42"/>
      <c r="H6" s="44">
        <f>H5/G5-1</f>
        <v>1.0379012345679013</v>
      </c>
      <c r="I6" s="44">
        <f t="shared" ref="I6:K6" si="2">I5/H5-1</f>
        <v>-0.51874962137275094</v>
      </c>
      <c r="J6" s="44">
        <f t="shared" si="2"/>
        <v>-0.83736153071500508</v>
      </c>
      <c r="K6" s="44">
        <f t="shared" si="2"/>
        <v>4.5464396284829647</v>
      </c>
      <c r="L6" s="47">
        <f>growth</f>
        <v>0.03</v>
      </c>
      <c r="M6" s="47">
        <f>growth</f>
        <v>0.03</v>
      </c>
      <c r="N6" s="47">
        <f>growth</f>
        <v>0.03</v>
      </c>
      <c r="O6" s="47">
        <f>growth</f>
        <v>0.03</v>
      </c>
      <c r="P6" s="47">
        <f>growth</f>
        <v>0.03</v>
      </c>
      <c r="Q6" s="37"/>
    </row>
    <row r="7" spans="1:17" x14ac:dyDescent="0.25">
      <c r="A7" s="1" t="s">
        <v>77</v>
      </c>
      <c r="B7" s="2">
        <v>0.03</v>
      </c>
      <c r="F7" s="40" t="s">
        <v>107</v>
      </c>
      <c r="G7" s="43">
        <f>GETPIVOTDATA("[Measures].[Revenue Totals (m)]",$A$32,"[Feed].[Date (Year)]","[Feed].[Date (Year)].&amp;["&amp;G4&amp;"]")</f>
        <v>4219</v>
      </c>
      <c r="H7" s="43">
        <f t="shared" ref="H7:K7" si="3">GETPIVOTDATA("[Measures].[Revenue Totals (m)]",$A$32,"[Feed].[Date (Year)]","[Feed].[Date (Year)].&amp;["&amp;H4&amp;"]")</f>
        <v>5469</v>
      </c>
      <c r="I7" s="43">
        <f t="shared" si="3"/>
        <v>4549.3999999999996</v>
      </c>
      <c r="J7" s="43">
        <f t="shared" si="3"/>
        <v>2905.7</v>
      </c>
      <c r="K7" s="43">
        <f t="shared" si="3"/>
        <v>3428.9</v>
      </c>
      <c r="L7" s="48">
        <f>IF(ISBLANK(L13),K7*(1+L6),L13)</f>
        <v>3531.7670000000003</v>
      </c>
      <c r="M7" s="48">
        <f t="shared" ref="M7:P7" si="4">IF(ISBLANK(M13),L7*(1+M6),M13)</f>
        <v>3637.7200100000005</v>
      </c>
      <c r="N7" s="48">
        <f t="shared" si="4"/>
        <v>3746.8516103000006</v>
      </c>
      <c r="O7" s="48">
        <f t="shared" si="4"/>
        <v>3859.2571586090007</v>
      </c>
      <c r="P7" s="48">
        <f t="shared" si="4"/>
        <v>3975.0348733672708</v>
      </c>
      <c r="Q7" s="37"/>
    </row>
    <row r="8" spans="1:17" x14ac:dyDescent="0.25">
      <c r="A8" s="1" t="s">
        <v>75</v>
      </c>
      <c r="B8" s="2">
        <v>1.4999999999999999E-2</v>
      </c>
      <c r="F8" s="40" t="s">
        <v>108</v>
      </c>
      <c r="G8" s="43">
        <f>GETPIVOTDATA("[Measures].[Net Income Totals (m)]",$A$32,"[Feed].[Date (Year)]","[Feed].[Date (Year)].&amp;["&amp;G4&amp;"]")</f>
        <v>220.3</v>
      </c>
      <c r="H8" s="43">
        <f t="shared" ref="H8:K8" si="5">GETPIVOTDATA("[Measures].[Net Income Totals (m)]",$A$32,"[Feed].[Date (Year)]","[Feed].[Date (Year)].&amp;["&amp;H4&amp;"]")</f>
        <v>638.29999999999995</v>
      </c>
      <c r="I8" s="43">
        <f t="shared" si="5"/>
        <v>-211.3</v>
      </c>
      <c r="J8" s="43">
        <f t="shared" si="5"/>
        <v>-1870.2999999999981</v>
      </c>
      <c r="K8" s="43">
        <f t="shared" si="5"/>
        <v>360.1</v>
      </c>
      <c r="L8" s="46"/>
      <c r="M8" s="46"/>
      <c r="N8" s="46"/>
      <c r="O8" s="46"/>
      <c r="P8" s="46"/>
      <c r="Q8" s="37"/>
    </row>
    <row r="9" spans="1:17" x14ac:dyDescent="0.25">
      <c r="A9" s="30" t="s">
        <v>52</v>
      </c>
      <c r="B9" s="29">
        <f>GETPIVOTDATA("[Measures].[LastEV_EBITDA]",$A$32,"[Feed].[Date (Year)]","[Feed].[Date (Year)].&amp;["&amp;seed_year&amp;"]")</f>
        <v>1.9960100000000001</v>
      </c>
      <c r="F9" s="41" t="s">
        <v>109</v>
      </c>
      <c r="G9" s="45">
        <f>G5/G7</f>
        <v>0.19198862289642096</v>
      </c>
      <c r="H9" s="45">
        <f t="shared" ref="H9:K9" si="6">H5/H7</f>
        <v>0.30182848784055588</v>
      </c>
      <c r="I9" s="45">
        <f t="shared" si="6"/>
        <v>0.17461643293621137</v>
      </c>
      <c r="J9" s="45">
        <f t="shared" si="6"/>
        <v>4.4464328733179612E-2</v>
      </c>
      <c r="K9" s="45">
        <f t="shared" si="6"/>
        <v>0.20898830528740966</v>
      </c>
      <c r="L9" s="49">
        <f>AVERAGE($G$9:$K$9)</f>
        <v>0.18437723553875551</v>
      </c>
      <c r="M9" s="49">
        <f>L9</f>
        <v>0.18437723553875551</v>
      </c>
      <c r="N9" s="49">
        <f t="shared" ref="N9:P9" si="7">M9</f>
        <v>0.18437723553875551</v>
      </c>
      <c r="O9" s="49">
        <f t="shared" si="7"/>
        <v>0.18437723553875551</v>
      </c>
      <c r="P9" s="49">
        <f t="shared" si="7"/>
        <v>0.18437723553875551</v>
      </c>
      <c r="Q9" s="38"/>
    </row>
    <row r="10" spans="1:17" x14ac:dyDescent="0.25">
      <c r="A10" s="1" t="s">
        <v>43</v>
      </c>
      <c r="B10" s="14" t="s">
        <v>45</v>
      </c>
      <c r="G10" t="s">
        <v>81</v>
      </c>
      <c r="H10" t="s">
        <v>81</v>
      </c>
      <c r="I10" t="s">
        <v>80</v>
      </c>
      <c r="J10" t="s">
        <v>82</v>
      </c>
      <c r="K10" s="32" t="s">
        <v>110</v>
      </c>
      <c r="L10" s="53">
        <f>L9*L7</f>
        <v>651.17743602700398</v>
      </c>
      <c r="M10" s="54">
        <f t="shared" ref="M10:P10" si="8">M9*M7</f>
        <v>670.71275910781412</v>
      </c>
      <c r="N10" s="54">
        <f t="shared" si="8"/>
        <v>690.83414188104859</v>
      </c>
      <c r="O10" s="54">
        <f t="shared" si="8"/>
        <v>711.55916613748002</v>
      </c>
      <c r="P10" s="54">
        <f t="shared" si="8"/>
        <v>732.90594112160454</v>
      </c>
      <c r="Q10" s="34"/>
    </row>
    <row r="11" spans="1:17" x14ac:dyDescent="0.25">
      <c r="A11" s="3" t="s">
        <v>66</v>
      </c>
      <c r="B11" s="20">
        <f>IF(ISBLANK($B$14),VLOOKUP(term_method,term_methods,4),tv_or)</f>
        <v>8492.6540390508235</v>
      </c>
      <c r="L11" s="35"/>
      <c r="Q11" s="37"/>
    </row>
    <row r="12" spans="1:17" x14ac:dyDescent="0.25">
      <c r="A12" s="3" t="s">
        <v>12</v>
      </c>
      <c r="B12" s="21">
        <f>tv/$P$5</f>
        <v>10.223050483981163</v>
      </c>
      <c r="K12" s="8" t="s">
        <v>113</v>
      </c>
      <c r="L12" s="60"/>
      <c r="M12" s="55"/>
      <c r="N12" s="55"/>
      <c r="O12" s="55"/>
      <c r="P12" s="55"/>
      <c r="Q12" s="37"/>
    </row>
    <row r="13" spans="1:17" ht="15.75" thickBot="1" x14ac:dyDescent="0.3">
      <c r="A13" s="3" t="s">
        <v>55</v>
      </c>
      <c r="B13" s="22" t="str">
        <f>VLOOKUP(term_method,term_methods,3)</f>
        <v>FCFF6 / WACC</v>
      </c>
      <c r="L13" s="35"/>
      <c r="Q13" s="37"/>
    </row>
    <row r="14" spans="1:17" ht="21" x14ac:dyDescent="0.35">
      <c r="A14" s="1" t="s">
        <v>50</v>
      </c>
      <c r="B14" s="9"/>
      <c r="C14" t="s">
        <v>71</v>
      </c>
      <c r="F14" s="78"/>
      <c r="G14" s="79"/>
      <c r="H14" s="79"/>
      <c r="I14" s="80" t="str" cm="1">
        <f t="array" ref="I14">_FV(company,"Official name",TRUE)</f>
        <v>PEABODY ENERGY CORPORATION</v>
      </c>
      <c r="L14" s="35"/>
      <c r="Q14" s="37"/>
    </row>
    <row r="15" spans="1:17" ht="21" x14ac:dyDescent="0.35">
      <c r="A15" s="3" t="s">
        <v>67</v>
      </c>
      <c r="B15" s="21">
        <f>B14*$P$15</f>
        <v>0</v>
      </c>
      <c r="F15" s="59"/>
      <c r="G15" s="70"/>
      <c r="H15" s="71" t="s">
        <v>68</v>
      </c>
      <c r="I15" s="72">
        <f>SUM(L15:Q15)</f>
        <v>7206.3950478419465</v>
      </c>
      <c r="K15" s="23" t="s">
        <v>121</v>
      </c>
      <c r="L15" s="56">
        <f t="shared" ref="L15:Q15" si="9">L5/(1+WACC)^L3</f>
        <v>660.90436962750618</v>
      </c>
      <c r="M15" s="57">
        <f t="shared" si="9"/>
        <v>609.53751854972359</v>
      </c>
      <c r="N15" s="57">
        <f t="shared" si="9"/>
        <v>562.16300510943347</v>
      </c>
      <c r="O15" s="57">
        <f t="shared" si="9"/>
        <v>518.47053658910852</v>
      </c>
      <c r="P15" s="57">
        <f t="shared" si="9"/>
        <v>478.17393686137342</v>
      </c>
      <c r="Q15" s="58">
        <f t="shared" si="9"/>
        <v>4377.145681104801</v>
      </c>
    </row>
    <row r="16" spans="1:17" ht="21" x14ac:dyDescent="0.35">
      <c r="F16" s="59"/>
      <c r="G16" s="70"/>
      <c r="H16" s="71" t="s">
        <v>69</v>
      </c>
      <c r="I16" s="72">
        <f>shares/1000000</f>
        <v>143.9</v>
      </c>
    </row>
    <row r="17" spans="1:12" ht="21" x14ac:dyDescent="0.35">
      <c r="A17" s="3" t="s">
        <v>9</v>
      </c>
      <c r="B17" s="4">
        <f>B20</f>
        <v>143900000</v>
      </c>
      <c r="F17" s="59"/>
      <c r="G17" s="70"/>
      <c r="H17" s="71" t="s">
        <v>70</v>
      </c>
      <c r="I17" s="73">
        <f>pvffcf/I16</f>
        <v>50.079187267838407</v>
      </c>
    </row>
    <row r="18" spans="1:12" ht="21" x14ac:dyDescent="0.35">
      <c r="A18" s="3" t="s">
        <v>4</v>
      </c>
      <c r="B18" s="3" t="str" cm="1">
        <f t="array" ref="B18">_FV(B3,"Ticker symbol",TRUE)</f>
        <v>BTU</v>
      </c>
      <c r="F18" s="59"/>
      <c r="G18" s="70"/>
      <c r="H18" s="71" t="s">
        <v>72</v>
      </c>
      <c r="I18" s="73" cm="1">
        <f t="array" ref="I18">_FV(company,"Price",TRUE)</f>
        <v>28.45</v>
      </c>
      <c r="K18" s="69"/>
    </row>
    <row r="19" spans="1:12" ht="21" x14ac:dyDescent="0.35">
      <c r="A19" s="3" t="s">
        <v>5</v>
      </c>
      <c r="B19" s="5" cm="1">
        <f t="array" ref="B19">_FV(B3,"Price")</f>
        <v>28.45</v>
      </c>
      <c r="F19" s="59"/>
      <c r="G19" s="70"/>
      <c r="H19" s="71" t="s">
        <v>73</v>
      </c>
      <c r="I19" s="74">
        <f>val_price-I18</f>
        <v>21.629187267838407</v>
      </c>
      <c r="K19" s="68"/>
      <c r="L19" t="str">
        <f>TEXT(growth,"#.0%")</f>
        <v>3.0%</v>
      </c>
    </row>
    <row r="20" spans="1:12" ht="21" x14ac:dyDescent="0.35">
      <c r="A20" s="3" t="s">
        <v>8</v>
      </c>
      <c r="B20" s="6" cm="1">
        <f t="array" ref="B20">_FV(B3,"Shares outstanding",TRUE)</f>
        <v>143900000</v>
      </c>
      <c r="F20" s="81"/>
      <c r="G20" s="82"/>
      <c r="H20" s="83" t="s">
        <v>78</v>
      </c>
      <c r="I20" s="84">
        <f>I19/I18</f>
        <v>0.76025262804352922</v>
      </c>
    </row>
    <row r="21" spans="1:12" ht="15.75" thickBot="1" x14ac:dyDescent="0.3">
      <c r="A21" s="3" t="s">
        <v>7</v>
      </c>
      <c r="B21" s="7" cm="1">
        <f t="array" ref="B21">_FV(B3,"P/E",TRUE)</f>
        <v>3.6911999999999998</v>
      </c>
      <c r="F21" s="75" t="str">
        <f>"Footnotes:"&amp;" "&amp;term_method&amp;" @ "&amp;TEXT(per_growth,"#.0%")&amp;" "&amp;"WAAC @ "&amp;TEXT(WACC,"#.0%")&amp;" GROWTH = "&amp;TEXT(growth,"#.0%")</f>
        <v>Footnotes: 3 - No Growth Perpetuity @ 1.5% WAAC @ 11.7% GROWTH = 3.0%</v>
      </c>
      <c r="G21" s="76"/>
      <c r="H21" s="76"/>
      <c r="I21" s="77"/>
    </row>
    <row r="22" spans="1:12" x14ac:dyDescent="0.25">
      <c r="A22" s="3" t="s">
        <v>6</v>
      </c>
      <c r="B22" s="31" cm="1">
        <f t="array" ref="B22">_FV(B3,"Market cap",TRUE)</f>
        <v>4093955000</v>
      </c>
    </row>
    <row r="23" spans="1:12" x14ac:dyDescent="0.25">
      <c r="A23" s="3" t="s">
        <v>65</v>
      </c>
      <c r="B23" s="7">
        <f>$P$5*(1+growth)^6</f>
        <v>991.94199176113614</v>
      </c>
    </row>
    <row r="25" spans="1:12" x14ac:dyDescent="0.25">
      <c r="A25" s="13" t="s">
        <v>48</v>
      </c>
    </row>
    <row r="26" spans="1:12" x14ac:dyDescent="0.25">
      <c r="A26" s="12" t="s">
        <v>46</v>
      </c>
      <c r="B26" s="12" t="s">
        <v>47</v>
      </c>
      <c r="C26" s="12" t="s">
        <v>54</v>
      </c>
      <c r="D26" s="12" t="s">
        <v>64</v>
      </c>
      <c r="E26" s="12" t="s">
        <v>46</v>
      </c>
    </row>
    <row r="27" spans="1:12" ht="18" x14ac:dyDescent="0.35">
      <c r="A27" s="12" t="s">
        <v>44</v>
      </c>
      <c r="B27" s="12">
        <v>1</v>
      </c>
      <c r="C27" s="19" t="s">
        <v>51</v>
      </c>
      <c r="D27" s="28">
        <f>FCFF6/(WACC-per_growth)</f>
        <v>9744.0274239797254</v>
      </c>
      <c r="E27" s="19" t="s">
        <v>74</v>
      </c>
    </row>
    <row r="28" spans="1:12" x14ac:dyDescent="0.25">
      <c r="A28" s="12" t="s">
        <v>49</v>
      </c>
      <c r="B28" s="12">
        <v>2</v>
      </c>
      <c r="C28" s="12" t="s">
        <v>52</v>
      </c>
      <c r="D28" s="28">
        <f>EV_EBITDA*$P$5</f>
        <v>1658.1569674382006</v>
      </c>
      <c r="E28" s="19" t="s">
        <v>111</v>
      </c>
    </row>
    <row r="29" spans="1:12" ht="18" x14ac:dyDescent="0.35">
      <c r="A29" s="12" t="s">
        <v>45</v>
      </c>
      <c r="B29" s="12">
        <v>3</v>
      </c>
      <c r="C29" s="12" t="s">
        <v>53</v>
      </c>
      <c r="D29" s="28">
        <f>FCFF6/(WACC)</f>
        <v>8492.6540390508235</v>
      </c>
      <c r="E29" s="19" t="s">
        <v>112</v>
      </c>
    </row>
    <row r="31" spans="1:12" x14ac:dyDescent="0.25">
      <c r="A31" s="18" t="s">
        <v>63</v>
      </c>
    </row>
    <row r="32" spans="1:12" x14ac:dyDescent="0.25">
      <c r="B32" s="16" t="s">
        <v>76</v>
      </c>
    </row>
    <row r="33" spans="1:7" x14ac:dyDescent="0.25">
      <c r="A33" s="16" t="s">
        <v>59</v>
      </c>
      <c r="B33" s="23" t="s">
        <v>100</v>
      </c>
      <c r="C33" s="23" t="s">
        <v>101</v>
      </c>
      <c r="D33" s="23" t="s">
        <v>102</v>
      </c>
      <c r="E33" s="23" t="s">
        <v>103</v>
      </c>
      <c r="F33" s="23" t="s">
        <v>104</v>
      </c>
      <c r="G33" s="23" t="s">
        <v>105</v>
      </c>
    </row>
    <row r="34" spans="1:7" x14ac:dyDescent="0.25">
      <c r="A34" s="17" t="s">
        <v>57</v>
      </c>
      <c r="B34" s="10">
        <v>1.5251827499999999</v>
      </c>
      <c r="C34" s="10">
        <v>1.5828058599999999</v>
      </c>
      <c r="D34" s="10">
        <v>1.3148774700000001</v>
      </c>
      <c r="E34" s="10">
        <v>1.4655957500000001</v>
      </c>
      <c r="F34" s="10">
        <v>1.6904583</v>
      </c>
      <c r="G34" s="10">
        <v>1.6904583</v>
      </c>
    </row>
    <row r="35" spans="1:7" x14ac:dyDescent="0.25">
      <c r="A35" s="17" t="s">
        <v>58</v>
      </c>
      <c r="B35" s="10">
        <v>0.39958421999999999</v>
      </c>
      <c r="C35" s="10">
        <v>0.39604821000000001</v>
      </c>
      <c r="D35" s="10">
        <v>0.52130964000000002</v>
      </c>
      <c r="E35" s="10">
        <v>1.6451645800000001</v>
      </c>
      <c r="F35" s="10">
        <v>0.64883568000000003</v>
      </c>
      <c r="G35" s="10">
        <v>0.64883568000000003</v>
      </c>
    </row>
    <row r="36" spans="1:7" x14ac:dyDescent="0.25">
      <c r="A36" s="17" t="s">
        <v>60</v>
      </c>
      <c r="B36" s="10">
        <v>6.1140186045067004</v>
      </c>
      <c r="C36" s="10">
        <v>6.7837350604259798</v>
      </c>
      <c r="D36" s="10">
        <v>-3.9286637373998401</v>
      </c>
      <c r="E36" s="10">
        <v>-0.126078335975223</v>
      </c>
      <c r="F36" s="10">
        <v>4.2539709361270699</v>
      </c>
      <c r="G36" s="10">
        <v>13.120986819871501</v>
      </c>
    </row>
    <row r="37" spans="1:7" x14ac:dyDescent="0.25">
      <c r="A37" s="17" t="s">
        <v>99</v>
      </c>
      <c r="B37" s="10">
        <v>3.7956300000000001</v>
      </c>
      <c r="C37" s="10">
        <v>3.3113199999999998</v>
      </c>
      <c r="D37" s="10">
        <v>1.7521</v>
      </c>
      <c r="E37" s="10">
        <v>4.0128199999999996</v>
      </c>
      <c r="F37" s="10">
        <v>1.9960100000000001</v>
      </c>
      <c r="G37" s="10">
        <v>1.9960100000000001</v>
      </c>
    </row>
    <row r="38" spans="1:7" x14ac:dyDescent="0.25">
      <c r="A38" s="17" t="s">
        <v>62</v>
      </c>
      <c r="B38" s="10">
        <v>1.3667253579799801</v>
      </c>
      <c r="C38" s="10">
        <v>0.99098586512123099</v>
      </c>
      <c r="D38" s="10">
        <v>0.33810085192517197</v>
      </c>
      <c r="E38" s="10">
        <v>0.253547828483836</v>
      </c>
      <c r="F38" s="10">
        <v>0.76190908540645197</v>
      </c>
      <c r="G38" s="10">
        <v>2.3500393438653799</v>
      </c>
    </row>
    <row r="39" spans="1:7" x14ac:dyDescent="0.25">
      <c r="A39" s="17" t="s">
        <v>61</v>
      </c>
      <c r="B39" s="27">
        <v>105.2</v>
      </c>
      <c r="C39" s="27">
        <v>110.4</v>
      </c>
      <c r="D39" s="27">
        <v>96.9</v>
      </c>
      <c r="E39" s="27">
        <v>97.8</v>
      </c>
      <c r="F39" s="27">
        <v>133.30000000000001</v>
      </c>
      <c r="G39" s="27">
        <v>133.30000000000001</v>
      </c>
    </row>
    <row r="40" spans="1:7" x14ac:dyDescent="0.25">
      <c r="A40" s="17" t="s">
        <v>95</v>
      </c>
      <c r="B40" s="27">
        <v>810</v>
      </c>
      <c r="C40" s="27">
        <v>1650.7</v>
      </c>
      <c r="D40" s="27">
        <v>794.4</v>
      </c>
      <c r="E40" s="27">
        <v>129.19999999999999</v>
      </c>
      <c r="F40" s="27">
        <v>716.599999999999</v>
      </c>
      <c r="G40" s="27">
        <v>1061.5999999999979</v>
      </c>
    </row>
    <row r="41" spans="1:7" x14ac:dyDescent="0.25">
      <c r="A41" s="17" t="s">
        <v>97</v>
      </c>
      <c r="B41" s="27">
        <v>220.3</v>
      </c>
      <c r="C41" s="27">
        <v>638.29999999999995</v>
      </c>
      <c r="D41" s="27">
        <v>-211.3</v>
      </c>
      <c r="E41" s="27">
        <v>-1870.2999999999981</v>
      </c>
      <c r="F41" s="27">
        <v>360.1</v>
      </c>
      <c r="G41" s="27">
        <v>1026</v>
      </c>
    </row>
    <row r="42" spans="1:7" x14ac:dyDescent="0.25">
      <c r="A42" s="17" t="s">
        <v>96</v>
      </c>
      <c r="B42" s="27">
        <v>4219</v>
      </c>
      <c r="C42" s="27">
        <v>5469</v>
      </c>
      <c r="D42" s="27">
        <v>4549.3999999999996</v>
      </c>
      <c r="E42" s="27">
        <v>2905.7</v>
      </c>
      <c r="F42" s="27">
        <v>3428.9</v>
      </c>
      <c r="G42" s="27">
        <v>2251.4</v>
      </c>
    </row>
    <row r="43" spans="1:7" x14ac:dyDescent="0.25">
      <c r="A43" s="17" t="s">
        <v>98</v>
      </c>
      <c r="B43" s="26">
        <v>0.19198862289642096</v>
      </c>
      <c r="C43" s="26">
        <v>0.30182848784055588</v>
      </c>
      <c r="D43" s="26">
        <v>0.17461643293621137</v>
      </c>
      <c r="E43" s="26">
        <v>4.4464328733179612E-2</v>
      </c>
      <c r="F43" s="26">
        <v>0.20898830528740966</v>
      </c>
      <c r="G43" s="26">
        <v>0.47152882650794964</v>
      </c>
    </row>
    <row r="44" spans="1:7" x14ac:dyDescent="0.25">
      <c r="A44" s="17" t="s">
        <v>106</v>
      </c>
      <c r="B44" s="27">
        <v>810</v>
      </c>
      <c r="C44" s="27">
        <v>1650.7</v>
      </c>
      <c r="D44" s="27">
        <v>794.4</v>
      </c>
      <c r="E44" s="27">
        <v>129.19999999999999</v>
      </c>
      <c r="F44" s="27">
        <v>716.599999999999</v>
      </c>
      <c r="G44" s="27">
        <v>1061.5999999999979</v>
      </c>
    </row>
  </sheetData>
  <protectedRanges>
    <protectedRange sqref="B5:B8" name="Inputs2"/>
    <protectedRange sqref="B3" name="Inputs1"/>
    <protectedRange sqref="B10" name="Inputs3"/>
    <protectedRange sqref="B14" name="Inputs4"/>
    <protectedRange sqref="L12:P12" name="Inputs5"/>
  </protectedRanges>
  <conditionalFormatting sqref="I20">
    <cfRule type="colorScale" priority="8">
      <colorScale>
        <cfvo type="num" val="-0.3"/>
        <cfvo type="num" val="0"/>
        <cfvo type="num" val="0.3"/>
        <color rgb="FFF8696B"/>
        <color rgb="FFFCFCFF"/>
        <color rgb="FF63BE7B"/>
      </colorScale>
    </cfRule>
  </conditionalFormatting>
  <conditionalFormatting sqref="I19">
    <cfRule type="iconSet" priority="6">
      <iconSet iconSet="3Symbols">
        <cfvo type="percent" val="0"/>
        <cfvo type="percent" val="33"/>
        <cfvo type="percent" val="67"/>
      </iconSet>
    </cfRule>
  </conditionalFormatting>
  <conditionalFormatting pivot="1" sqref="B35:G35">
    <cfRule type="colorScale" priority="5">
      <colorScale>
        <cfvo type="num" val="0"/>
        <cfvo type="num" val="0.5"/>
        <cfvo type="num" val="1"/>
        <color rgb="FF63BE7B"/>
        <color rgb="FFFFEB84"/>
        <color rgb="FFF8696B"/>
      </colorScale>
    </cfRule>
  </conditionalFormatting>
  <conditionalFormatting pivot="1" sqref="B34:G34">
    <cfRule type="colorScale" priority="4">
      <colorScale>
        <cfvo type="num" val="0"/>
        <cfvo type="num" val="1.2"/>
        <cfvo type="num" val="2"/>
        <color rgb="FFFF0000"/>
        <color rgb="FFFFEB84"/>
        <color rgb="FF92D050"/>
      </colorScale>
    </cfRule>
  </conditionalFormatting>
  <conditionalFormatting pivot="1" sqref="B36:G36">
    <cfRule type="colorScale" priority="3">
      <colorScale>
        <cfvo type="num" val="0"/>
        <cfvo type="num" val="20"/>
        <cfvo type="num" val="50"/>
        <color rgb="FF63BE7B"/>
        <color rgb="FFFFEB84"/>
        <color rgb="FFF8696B"/>
      </colorScale>
    </cfRule>
  </conditionalFormatting>
  <conditionalFormatting pivot="1" sqref="B37:G37">
    <cfRule type="colorScale" priority="2">
      <colorScale>
        <cfvo type="num" val="0"/>
        <cfvo type="num" val="15"/>
        <cfvo type="num" val="30"/>
        <color rgb="FF63BE7B"/>
        <color rgb="FFFFEB84"/>
        <color rgb="FFF8696B"/>
      </colorScale>
    </cfRule>
  </conditionalFormatting>
  <conditionalFormatting pivot="1" sqref="B38:G38">
    <cfRule type="colorScale" priority="1">
      <colorScale>
        <cfvo type="num" val="0"/>
        <cfvo type="num" val="3"/>
        <cfvo type="num" val="6"/>
        <color rgb="FF63BE7B"/>
        <color rgb="FFFFEB84"/>
        <color rgb="FFF8696B"/>
      </colorScale>
    </cfRule>
  </conditionalFormatting>
  <dataValidations count="1">
    <dataValidation type="list" allowBlank="1" showInputMessage="1" showErrorMessage="1" sqref="B10" xr:uid="{B9E1875A-72BB-422D-88DA-C83D69F1AB59}">
      <formula1>$A$27:$A$29</formula1>
    </dataValidation>
  </dataValidation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8FBEA-9B4C-4D24-AED4-32C84D9FC844}">
  <dimension ref="A1:S272"/>
  <sheetViews>
    <sheetView topLeftCell="A10" workbookViewId="0">
      <selection activeCell="A7" sqref="A7"/>
    </sheetView>
  </sheetViews>
  <sheetFormatPr defaultRowHeight="15" x14ac:dyDescent="0.25"/>
  <cols>
    <col min="1" max="1" width="24.28515625" bestFit="1" customWidth="1"/>
    <col min="6" max="6" width="10.140625" customWidth="1"/>
    <col min="7" max="7" width="13.7109375" customWidth="1"/>
    <col min="8" max="8" width="10.7109375" customWidth="1"/>
    <col min="9" max="9" width="32.85546875" customWidth="1"/>
    <col min="10" max="10" width="15.85546875" customWidth="1"/>
    <col min="11" max="11" width="20.42578125" customWidth="1"/>
    <col min="12" max="12" width="9.85546875" customWidth="1"/>
    <col min="13" max="13" width="10" customWidth="1"/>
    <col min="14" max="14" width="15.42578125" customWidth="1"/>
    <col min="15" max="15" width="13.42578125" customWidth="1"/>
    <col min="16" max="16" width="27.28515625" customWidth="1"/>
    <col min="17" max="17" width="33.85546875" customWidth="1"/>
    <col min="18" max="18" width="12.7109375" customWidth="1"/>
  </cols>
  <sheetData>
    <row r="1" spans="1:19" x14ac:dyDescent="0.25">
      <c r="A1" t="s">
        <v>115</v>
      </c>
    </row>
    <row r="2" spans="1:19" x14ac:dyDescent="0.25">
      <c r="A2" t="s">
        <v>116</v>
      </c>
    </row>
    <row r="3" spans="1:19" x14ac:dyDescent="0.25">
      <c r="A3" t="s">
        <v>117</v>
      </c>
    </row>
    <row r="4" spans="1:19" x14ac:dyDescent="0.25">
      <c r="A4" t="s">
        <v>118</v>
      </c>
    </row>
    <row r="5" spans="1:19" x14ac:dyDescent="0.25">
      <c r="A5" t="s">
        <v>119</v>
      </c>
    </row>
    <row r="6" spans="1:19" x14ac:dyDescent="0.25">
      <c r="A6" t="s">
        <v>120</v>
      </c>
    </row>
    <row r="7" spans="1:19" x14ac:dyDescent="0.25">
      <c r="A7" s="52" t="s">
        <v>114</v>
      </c>
    </row>
    <row r="9" spans="1:19" x14ac:dyDescent="0.25">
      <c r="A9" t="s">
        <v>14</v>
      </c>
      <c r="B9" t="s">
        <v>15</v>
      </c>
      <c r="C9" t="s">
        <v>16</v>
      </c>
      <c r="D9" t="s">
        <v>17</v>
      </c>
      <c r="E9" t="s">
        <v>18</v>
      </c>
      <c r="F9" t="s">
        <v>19</v>
      </c>
      <c r="G9" t="s">
        <v>20</v>
      </c>
      <c r="H9" t="s">
        <v>94</v>
      </c>
      <c r="I9" t="s">
        <v>21</v>
      </c>
      <c r="J9" t="s">
        <v>22</v>
      </c>
      <c r="K9" t="s">
        <v>23</v>
      </c>
      <c r="L9" t="s">
        <v>24</v>
      </c>
      <c r="M9" t="s">
        <v>25</v>
      </c>
      <c r="N9" t="s">
        <v>26</v>
      </c>
      <c r="O9" t="s">
        <v>27</v>
      </c>
      <c r="P9" t="s">
        <v>28</v>
      </c>
      <c r="Q9" t="s">
        <v>29</v>
      </c>
      <c r="R9" t="s">
        <v>30</v>
      </c>
      <c r="S9" t="s">
        <v>93</v>
      </c>
    </row>
    <row r="10" spans="1:19" x14ac:dyDescent="0.25">
      <c r="A10" t="s">
        <v>31</v>
      </c>
      <c r="B10">
        <v>30.03</v>
      </c>
      <c r="C10">
        <v>32.5</v>
      </c>
      <c r="D10">
        <v>22.58</v>
      </c>
      <c r="E10">
        <v>24.45</v>
      </c>
      <c r="F10">
        <v>85477030</v>
      </c>
      <c r="G10" t="s">
        <v>32</v>
      </c>
      <c r="H10">
        <v>5585682.9483870901</v>
      </c>
      <c r="I10">
        <v>100200000</v>
      </c>
      <c r="J10">
        <v>41600000</v>
      </c>
      <c r="K10">
        <v>0.60559457999999999</v>
      </c>
      <c r="L10" s="11">
        <v>-1.804427932065E-7</v>
      </c>
      <c r="M10">
        <v>1.0281991501902401</v>
      </c>
      <c r="N10">
        <v>1253100000</v>
      </c>
      <c r="O10">
        <v>-237000000</v>
      </c>
      <c r="P10">
        <v>3.6741001799999999</v>
      </c>
      <c r="Q10">
        <v>0.21263468999999999</v>
      </c>
      <c r="R10">
        <v>1.24483996</v>
      </c>
      <c r="S10">
        <v>3.8651599999999999</v>
      </c>
    </row>
    <row r="11" spans="1:19" x14ac:dyDescent="0.25">
      <c r="A11" t="s">
        <v>33</v>
      </c>
      <c r="B11">
        <v>24.47</v>
      </c>
      <c r="C11">
        <v>30.95</v>
      </c>
      <c r="D11">
        <v>24.37</v>
      </c>
      <c r="E11">
        <v>29.01</v>
      </c>
      <c r="F11">
        <v>72792795</v>
      </c>
      <c r="G11" t="s">
        <v>32</v>
      </c>
      <c r="H11">
        <v>6627429.9522580598</v>
      </c>
      <c r="I11">
        <v>102700000</v>
      </c>
      <c r="J11">
        <v>305700000</v>
      </c>
      <c r="K11">
        <v>0.48932342000000001</v>
      </c>
      <c r="L11">
        <v>-4.1651710720900503</v>
      </c>
      <c r="M11">
        <v>1.1218188546774699</v>
      </c>
      <c r="N11">
        <v>1457800000</v>
      </c>
      <c r="O11">
        <v>174200000</v>
      </c>
      <c r="P11">
        <v>4.0001752000000002</v>
      </c>
      <c r="Q11">
        <v>0.19966805000000001</v>
      </c>
      <c r="R11">
        <v>1.46878088</v>
      </c>
      <c r="S11">
        <v>3.4640200000000001</v>
      </c>
    </row>
    <row r="12" spans="1:19" x14ac:dyDescent="0.25">
      <c r="A12" t="s">
        <v>34</v>
      </c>
      <c r="B12">
        <v>29.11</v>
      </c>
      <c r="C12">
        <v>39.859000000000002</v>
      </c>
      <c r="D12">
        <v>28.08</v>
      </c>
      <c r="E12">
        <v>39.369999999999997</v>
      </c>
      <c r="F12">
        <v>69354905</v>
      </c>
      <c r="G12" t="s">
        <v>32</v>
      </c>
      <c r="H12">
        <v>8994206.0399999991</v>
      </c>
      <c r="I12">
        <v>105200000</v>
      </c>
      <c r="J12">
        <v>462700000</v>
      </c>
      <c r="K12">
        <v>0.39958421999999999</v>
      </c>
      <c r="L12">
        <v>6.1140186045067004</v>
      </c>
      <c r="M12">
        <v>1.3667253579799801</v>
      </c>
      <c r="N12">
        <v>1508100000</v>
      </c>
      <c r="O12">
        <v>283100000</v>
      </c>
      <c r="P12">
        <v>3.4975850899999998</v>
      </c>
      <c r="Q12">
        <v>0.17340976999999999</v>
      </c>
      <c r="R12">
        <v>1.5251827499999999</v>
      </c>
      <c r="S12">
        <v>3.7956300000000001</v>
      </c>
    </row>
    <row r="13" spans="1:19" x14ac:dyDescent="0.25">
      <c r="A13" t="s">
        <v>35</v>
      </c>
      <c r="B13">
        <v>39.549999999999997</v>
      </c>
      <c r="C13">
        <v>41.98</v>
      </c>
      <c r="D13">
        <v>36.25</v>
      </c>
      <c r="E13">
        <v>36.5</v>
      </c>
      <c r="F13">
        <v>71374434</v>
      </c>
      <c r="G13" t="s">
        <v>32</v>
      </c>
      <c r="H13">
        <v>4303373532.9190903</v>
      </c>
      <c r="I13">
        <v>126300000</v>
      </c>
      <c r="J13">
        <v>443800000</v>
      </c>
      <c r="K13">
        <v>0.39863031999999998</v>
      </c>
      <c r="L13">
        <v>35.0321527977733</v>
      </c>
      <c r="M13">
        <v>1.2770650316502199</v>
      </c>
      <c r="N13">
        <v>1442600000</v>
      </c>
      <c r="O13">
        <v>203200000</v>
      </c>
      <c r="P13">
        <v>3.5865369299999998</v>
      </c>
      <c r="Q13">
        <v>0.17070097000000001</v>
      </c>
      <c r="R13">
        <v>2.0165721799999998</v>
      </c>
      <c r="S13">
        <v>3.1653099999999998</v>
      </c>
    </row>
    <row r="14" spans="1:19" x14ac:dyDescent="0.25">
      <c r="A14" t="s">
        <v>36</v>
      </c>
      <c r="B14">
        <v>36.299999999999997</v>
      </c>
      <c r="C14">
        <v>47.84</v>
      </c>
      <c r="D14">
        <v>35.520000000000003</v>
      </c>
      <c r="E14">
        <v>45.48</v>
      </c>
      <c r="F14">
        <v>74406646</v>
      </c>
      <c r="G14" t="s">
        <v>32</v>
      </c>
      <c r="H14">
        <v>7021585409.9983702</v>
      </c>
      <c r="I14">
        <v>122300000</v>
      </c>
      <c r="J14">
        <v>258300000</v>
      </c>
      <c r="K14">
        <v>0.39573520000000001</v>
      </c>
      <c r="L14">
        <v>8.3359299107388303</v>
      </c>
      <c r="M14">
        <v>1.5883387715659401</v>
      </c>
      <c r="N14">
        <v>1299400000</v>
      </c>
      <c r="O14">
        <v>113700000</v>
      </c>
      <c r="P14">
        <v>3.89696022</v>
      </c>
      <c r="Q14">
        <v>0.17419860000000001</v>
      </c>
      <c r="R14">
        <v>2.0093182000000001</v>
      </c>
      <c r="S14">
        <v>3.9949599999999998</v>
      </c>
    </row>
    <row r="15" spans="1:19" x14ac:dyDescent="0.25">
      <c r="A15" t="s">
        <v>37</v>
      </c>
      <c r="B15">
        <v>45.12</v>
      </c>
      <c r="C15">
        <v>46.27</v>
      </c>
      <c r="D15">
        <v>35.1</v>
      </c>
      <c r="E15">
        <v>35.64</v>
      </c>
      <c r="F15">
        <v>65142525</v>
      </c>
      <c r="G15" t="s">
        <v>32</v>
      </c>
      <c r="H15">
        <v>3425315794.3248301</v>
      </c>
      <c r="I15">
        <v>114500000</v>
      </c>
      <c r="J15">
        <v>375400000</v>
      </c>
      <c r="K15">
        <v>0.41847594999999999</v>
      </c>
      <c r="L15">
        <v>7.7672441974501396</v>
      </c>
      <c r="M15">
        <v>1.25926695399435</v>
      </c>
      <c r="N15">
        <v>1390000000</v>
      </c>
      <c r="O15">
        <v>71500000</v>
      </c>
      <c r="P15">
        <v>2.78372419</v>
      </c>
      <c r="Q15">
        <v>0.1774037</v>
      </c>
      <c r="R15">
        <v>1.8055506100000001</v>
      </c>
      <c r="S15">
        <v>3.3410500000000001</v>
      </c>
    </row>
    <row r="16" spans="1:19" x14ac:dyDescent="0.25">
      <c r="A16" t="s">
        <v>38</v>
      </c>
      <c r="B16">
        <v>35.64</v>
      </c>
      <c r="C16">
        <v>37.119999999999997</v>
      </c>
      <c r="D16">
        <v>29.08</v>
      </c>
      <c r="E16">
        <v>30.48</v>
      </c>
      <c r="F16">
        <v>64932722</v>
      </c>
      <c r="G16" t="s">
        <v>32</v>
      </c>
      <c r="H16">
        <v>2986355396.2672601</v>
      </c>
      <c r="I16">
        <v>110400000</v>
      </c>
      <c r="J16">
        <v>573200000</v>
      </c>
      <c r="K16">
        <v>0.39604821000000001</v>
      </c>
      <c r="L16">
        <v>6.7837350604259798</v>
      </c>
      <c r="M16">
        <v>0.99098586512123099</v>
      </c>
      <c r="N16">
        <v>1337000000</v>
      </c>
      <c r="O16">
        <v>249900000</v>
      </c>
      <c r="P16">
        <v>2.1179233100000001</v>
      </c>
      <c r="Q16">
        <v>0.1792233</v>
      </c>
      <c r="R16">
        <v>1.5828058599999999</v>
      </c>
      <c r="S16">
        <v>3.3113199999999998</v>
      </c>
    </row>
    <row r="17" spans="1:19" x14ac:dyDescent="0.25">
      <c r="A17" t="s">
        <v>83</v>
      </c>
      <c r="B17">
        <v>30</v>
      </c>
      <c r="C17">
        <v>37.369999999999997</v>
      </c>
      <c r="D17">
        <v>27.88</v>
      </c>
      <c r="E17">
        <v>28.33</v>
      </c>
      <c r="F17">
        <v>52420300</v>
      </c>
      <c r="G17" t="s">
        <v>32</v>
      </c>
      <c r="H17">
        <v>2788113907.0738301</v>
      </c>
      <c r="I17">
        <v>107500000</v>
      </c>
      <c r="J17">
        <v>268900000</v>
      </c>
      <c r="K17">
        <v>0.44468287000000001</v>
      </c>
      <c r="L17">
        <v>5.9056513310124803</v>
      </c>
      <c r="M17">
        <v>0.94735888181555805</v>
      </c>
      <c r="N17">
        <v>1201000000</v>
      </c>
      <c r="O17">
        <v>124200000</v>
      </c>
      <c r="P17">
        <v>2.1211986700000001</v>
      </c>
      <c r="Q17">
        <v>0.19006518</v>
      </c>
      <c r="R17">
        <v>1.51753717</v>
      </c>
      <c r="S17">
        <v>3.5518000000000001</v>
      </c>
    </row>
    <row r="18" spans="1:19" x14ac:dyDescent="0.25">
      <c r="A18" t="s">
        <v>39</v>
      </c>
      <c r="B18">
        <v>28.75</v>
      </c>
      <c r="C18">
        <v>30.539899999999999</v>
      </c>
      <c r="D18">
        <v>21.42</v>
      </c>
      <c r="E18">
        <v>24.1</v>
      </c>
      <c r="F18">
        <v>49317810</v>
      </c>
      <c r="G18" t="s">
        <v>32</v>
      </c>
      <c r="H18">
        <v>2167655074.57621</v>
      </c>
      <c r="I18">
        <v>106200000</v>
      </c>
      <c r="J18">
        <v>216000000</v>
      </c>
      <c r="K18">
        <v>0.44733088999999998</v>
      </c>
      <c r="L18">
        <v>5.6835601254628196</v>
      </c>
      <c r="M18">
        <v>0.80583733855667505</v>
      </c>
      <c r="N18">
        <v>1099900000</v>
      </c>
      <c r="O18">
        <v>37100000</v>
      </c>
      <c r="P18">
        <v>1.8173770499999999</v>
      </c>
      <c r="Q18">
        <v>0.19450374000000001</v>
      </c>
      <c r="R18">
        <v>1.49006756</v>
      </c>
      <c r="S18">
        <v>3.3195000000000001</v>
      </c>
    </row>
    <row r="19" spans="1:19" x14ac:dyDescent="0.25">
      <c r="A19" t="s">
        <v>40</v>
      </c>
      <c r="B19">
        <v>24.28</v>
      </c>
      <c r="C19">
        <v>24.56</v>
      </c>
      <c r="D19">
        <v>14.2</v>
      </c>
      <c r="E19">
        <v>14.72</v>
      </c>
      <c r="F19">
        <v>65204582</v>
      </c>
      <c r="G19" t="s">
        <v>32</v>
      </c>
      <c r="H19">
        <v>928365687.08023095</v>
      </c>
      <c r="I19">
        <v>98800000</v>
      </c>
      <c r="J19">
        <v>195200000</v>
      </c>
      <c r="K19">
        <v>0.48090452</v>
      </c>
      <c r="L19">
        <v>5.1909581408470498</v>
      </c>
      <c r="M19">
        <v>0.49473936108713601</v>
      </c>
      <c r="N19">
        <v>1128400000</v>
      </c>
      <c r="O19">
        <v>-82800000</v>
      </c>
      <c r="P19">
        <v>1.20033831</v>
      </c>
      <c r="Q19">
        <v>0.20382775</v>
      </c>
      <c r="R19">
        <v>1.41070041</v>
      </c>
      <c r="S19">
        <v>2.40571</v>
      </c>
    </row>
    <row r="20" spans="1:19" x14ac:dyDescent="0.25">
      <c r="A20" t="s">
        <v>84</v>
      </c>
      <c r="B20">
        <v>14.75</v>
      </c>
      <c r="C20">
        <v>16.75</v>
      </c>
      <c r="D20">
        <v>8.65</v>
      </c>
      <c r="E20">
        <v>9.1199999999999992</v>
      </c>
      <c r="F20">
        <v>93980987</v>
      </c>
      <c r="G20" t="s">
        <v>32</v>
      </c>
      <c r="H20">
        <v>563420719.03708804</v>
      </c>
      <c r="I20">
        <v>96900000</v>
      </c>
      <c r="J20">
        <v>114300000</v>
      </c>
      <c r="K20">
        <v>0.52130964000000002</v>
      </c>
      <c r="L20">
        <v>-3.9286637373998401</v>
      </c>
      <c r="M20">
        <v>0.33810085192517197</v>
      </c>
      <c r="N20">
        <v>1120100000</v>
      </c>
      <c r="O20">
        <v>-289800000</v>
      </c>
      <c r="P20">
        <v>1.11703927</v>
      </c>
      <c r="Q20">
        <v>0.20561533000000001</v>
      </c>
      <c r="R20">
        <v>1.3148774700000001</v>
      </c>
      <c r="S20">
        <v>1.7521</v>
      </c>
    </row>
    <row r="21" spans="1:19" x14ac:dyDescent="0.25">
      <c r="A21" t="s">
        <v>85</v>
      </c>
      <c r="B21">
        <v>9.2799999999999994</v>
      </c>
      <c r="C21">
        <v>10.61</v>
      </c>
      <c r="D21">
        <v>2.5099999999999998</v>
      </c>
      <c r="E21">
        <v>2.9</v>
      </c>
      <c r="F21">
        <v>154993348</v>
      </c>
      <c r="G21" t="s">
        <v>32</v>
      </c>
      <c r="H21">
        <v>81760526.166166097</v>
      </c>
      <c r="I21">
        <v>97200000</v>
      </c>
      <c r="J21">
        <v>51000000</v>
      </c>
      <c r="K21">
        <v>0.54340189000000005</v>
      </c>
      <c r="L21">
        <v>-0.60671994644127303</v>
      </c>
      <c r="M21">
        <v>0.113821904044209</v>
      </c>
      <c r="N21">
        <v>854900000</v>
      </c>
      <c r="O21">
        <v>-129699999.999999</v>
      </c>
      <c r="P21">
        <v>0.48895055999999998</v>
      </c>
      <c r="Q21">
        <v>0.21488187</v>
      </c>
      <c r="R21">
        <v>1.4267990100000001</v>
      </c>
      <c r="S21">
        <v>1.3668499999999999</v>
      </c>
    </row>
    <row r="22" spans="1:19" x14ac:dyDescent="0.25">
      <c r="A22" t="s">
        <v>86</v>
      </c>
      <c r="B22">
        <v>2.79</v>
      </c>
      <c r="C22">
        <v>5.22</v>
      </c>
      <c r="D22">
        <v>2.5299999999999998</v>
      </c>
      <c r="E22">
        <v>2.88</v>
      </c>
      <c r="F22">
        <v>166550914</v>
      </c>
      <c r="G22" t="s">
        <v>32</v>
      </c>
      <c r="H22">
        <v>252449497.12149501</v>
      </c>
      <c r="I22">
        <v>97800000</v>
      </c>
      <c r="J22">
        <v>-16000000</v>
      </c>
      <c r="K22">
        <v>1.69291418</v>
      </c>
      <c r="L22">
        <v>-0.137824101989835</v>
      </c>
      <c r="M22">
        <v>0.29986599738241898</v>
      </c>
      <c r="N22">
        <v>614200000</v>
      </c>
      <c r="O22">
        <v>-1544200000</v>
      </c>
      <c r="P22">
        <v>0.81843832000000005</v>
      </c>
      <c r="Q22">
        <v>0.33119140000000002</v>
      </c>
      <c r="R22">
        <v>1.6017754399999999</v>
      </c>
      <c r="S22">
        <v>2.03877</v>
      </c>
    </row>
    <row r="23" spans="1:19" x14ac:dyDescent="0.25">
      <c r="A23" t="s">
        <v>87</v>
      </c>
      <c r="B23">
        <v>2.9</v>
      </c>
      <c r="C23">
        <v>4.17</v>
      </c>
      <c r="D23">
        <v>2.27</v>
      </c>
      <c r="E23">
        <v>2.2999999999999998</v>
      </c>
      <c r="F23">
        <v>132834471</v>
      </c>
      <c r="G23" t="s">
        <v>32</v>
      </c>
      <c r="H23">
        <v>188818249.85401401</v>
      </c>
      <c r="I23">
        <v>97800000</v>
      </c>
      <c r="J23">
        <v>57100000</v>
      </c>
      <c r="K23">
        <v>1.5094476699999999</v>
      </c>
      <c r="L23">
        <v>-0.11072384510215399</v>
      </c>
      <c r="M23">
        <v>0.214085922919759</v>
      </c>
      <c r="N23">
        <v>687900000</v>
      </c>
      <c r="O23">
        <v>-67200000</v>
      </c>
      <c r="P23">
        <v>1.0909399200000001</v>
      </c>
      <c r="Q23">
        <v>1.4606300000000001E-3</v>
      </c>
      <c r="R23">
        <v>0.51242418999999995</v>
      </c>
      <c r="S23">
        <v>2.31609</v>
      </c>
    </row>
    <row r="24" spans="1:19" x14ac:dyDescent="0.25">
      <c r="A24" t="s">
        <v>88</v>
      </c>
      <c r="B24">
        <v>2.3199999999999998</v>
      </c>
      <c r="C24">
        <v>2.95</v>
      </c>
      <c r="D24">
        <v>0.8</v>
      </c>
      <c r="E24">
        <v>2.41</v>
      </c>
      <c r="F24">
        <v>239064961</v>
      </c>
      <c r="G24" t="s">
        <v>32</v>
      </c>
      <c r="H24">
        <v>258196462.98181799</v>
      </c>
      <c r="I24">
        <v>97800000</v>
      </c>
      <c r="J24">
        <v>37100000</v>
      </c>
      <c r="K24">
        <v>1.6451645800000001</v>
      </c>
      <c r="L24">
        <v>-0.126078335975223</v>
      </c>
      <c r="M24">
        <v>0.253547828483836</v>
      </c>
      <c r="N24">
        <v>748700000</v>
      </c>
      <c r="O24">
        <v>-129199999.999999</v>
      </c>
      <c r="P24">
        <v>1.8242879299999999</v>
      </c>
      <c r="Q24">
        <v>0.33104069000000003</v>
      </c>
      <c r="R24">
        <v>1.4655957500000001</v>
      </c>
      <c r="S24">
        <v>4.0128199999999996</v>
      </c>
    </row>
    <row r="25" spans="1:19" x14ac:dyDescent="0.25">
      <c r="A25" t="s">
        <v>41</v>
      </c>
      <c r="B25">
        <v>2.46</v>
      </c>
      <c r="C25">
        <v>5.3</v>
      </c>
      <c r="D25">
        <v>2.4500000000000002</v>
      </c>
      <c r="E25">
        <v>3.06</v>
      </c>
      <c r="F25">
        <v>244477304</v>
      </c>
      <c r="G25" t="s">
        <v>32</v>
      </c>
      <c r="H25">
        <v>313155780.85714197</v>
      </c>
      <c r="I25">
        <v>98300000</v>
      </c>
      <c r="J25">
        <v>89200000</v>
      </c>
      <c r="K25">
        <v>1.7266404900000001</v>
      </c>
      <c r="L25">
        <v>-0.164563020645667</v>
      </c>
      <c r="M25">
        <v>0.35830626520752401</v>
      </c>
      <c r="N25">
        <v>643800000</v>
      </c>
      <c r="O25">
        <v>-80100000</v>
      </c>
      <c r="P25">
        <v>1.79870968</v>
      </c>
      <c r="Q25">
        <v>0.32293872000000001</v>
      </c>
      <c r="R25">
        <v>1.3030341299999999</v>
      </c>
      <c r="S25">
        <v>4.4554600000000004</v>
      </c>
    </row>
    <row r="26" spans="1:19" x14ac:dyDescent="0.25">
      <c r="A26" t="s">
        <v>89</v>
      </c>
      <c r="B26">
        <v>3.05</v>
      </c>
      <c r="C26">
        <v>9.7558000000000007</v>
      </c>
      <c r="D26">
        <v>2.95</v>
      </c>
      <c r="E26">
        <v>7.93</v>
      </c>
      <c r="F26">
        <v>415746922</v>
      </c>
      <c r="G26" t="s">
        <v>32</v>
      </c>
      <c r="H26">
        <v>2053682965.2857101</v>
      </c>
      <c r="I26">
        <v>111100000</v>
      </c>
      <c r="J26">
        <v>24200000</v>
      </c>
      <c r="K26">
        <v>1.54612314</v>
      </c>
      <c r="L26">
        <v>-2.5546857382171901</v>
      </c>
      <c r="M26">
        <v>0.98273582251766201</v>
      </c>
      <c r="N26">
        <v>729600000</v>
      </c>
      <c r="O26">
        <v>-28600000</v>
      </c>
      <c r="P26">
        <v>3.8656840099999998</v>
      </c>
      <c r="Q26">
        <v>0.30513764999999998</v>
      </c>
      <c r="R26">
        <v>1.2894409899999999</v>
      </c>
      <c r="S26">
        <v>5.1580399999999997</v>
      </c>
    </row>
    <row r="27" spans="1:19" x14ac:dyDescent="0.25">
      <c r="A27" t="s">
        <v>90</v>
      </c>
      <c r="B27">
        <v>8.0500000000000007</v>
      </c>
      <c r="C27">
        <v>19.829999999999998</v>
      </c>
      <c r="D27">
        <v>7.76</v>
      </c>
      <c r="E27">
        <v>14.79</v>
      </c>
      <c r="F27">
        <v>497893490</v>
      </c>
      <c r="G27" t="s">
        <v>32</v>
      </c>
      <c r="H27">
        <v>3374763893.9890099</v>
      </c>
      <c r="I27">
        <v>122300000</v>
      </c>
      <c r="J27">
        <v>72400000</v>
      </c>
      <c r="K27">
        <v>1.32092488</v>
      </c>
      <c r="L27">
        <v>-5.2776191835569497</v>
      </c>
      <c r="M27">
        <v>1.84215967376709</v>
      </c>
      <c r="N27">
        <v>929800000</v>
      </c>
      <c r="O27">
        <v>-44200000</v>
      </c>
      <c r="P27">
        <v>7.6239165499999997</v>
      </c>
      <c r="Q27">
        <v>0.29269555000000003</v>
      </c>
      <c r="R27">
        <v>1.3234291300000001</v>
      </c>
      <c r="S27">
        <v>5.2223199999999999</v>
      </c>
    </row>
    <row r="28" spans="1:19" x14ac:dyDescent="0.25">
      <c r="A28" t="s">
        <v>91</v>
      </c>
      <c r="B28">
        <v>14.96</v>
      </c>
      <c r="C28">
        <v>19.72</v>
      </c>
      <c r="D28">
        <v>8.58</v>
      </c>
      <c r="E28">
        <v>10.07</v>
      </c>
      <c r="F28">
        <v>411468360</v>
      </c>
      <c r="G28" t="s">
        <v>32</v>
      </c>
      <c r="H28">
        <v>827697209.06070197</v>
      </c>
      <c r="I28">
        <v>133300000</v>
      </c>
      <c r="J28">
        <v>530799999.99999899</v>
      </c>
      <c r="K28">
        <v>0.64883568000000003</v>
      </c>
      <c r="L28">
        <v>4.2539709361270699</v>
      </c>
      <c r="M28">
        <v>0.76190908540645197</v>
      </c>
      <c r="N28">
        <v>1125700000</v>
      </c>
      <c r="O28">
        <v>513000000</v>
      </c>
      <c r="P28">
        <v>1.8731942500000001</v>
      </c>
      <c r="Q28">
        <v>0.22332215</v>
      </c>
      <c r="R28">
        <v>1.6904583</v>
      </c>
      <c r="S28">
        <v>1.9960100000000001</v>
      </c>
    </row>
    <row r="29" spans="1:19" x14ac:dyDescent="0.25">
      <c r="A29" t="s">
        <v>42</v>
      </c>
      <c r="B29">
        <v>10.41</v>
      </c>
      <c r="C29">
        <v>27.7</v>
      </c>
      <c r="D29">
        <v>9.83</v>
      </c>
      <c r="E29">
        <v>24.53</v>
      </c>
      <c r="F29">
        <v>616949189</v>
      </c>
      <c r="G29">
        <v>182219184.75</v>
      </c>
      <c r="H29">
        <v>7336343267.8439102</v>
      </c>
      <c r="I29">
        <v>133300000</v>
      </c>
      <c r="J29">
        <v>530799999.99999899</v>
      </c>
      <c r="K29">
        <v>0.64883568000000003</v>
      </c>
      <c r="L29">
        <v>10.362453531598501</v>
      </c>
      <c r="M29">
        <v>1.8559711881847301</v>
      </c>
      <c r="N29">
        <v>1125700000</v>
      </c>
      <c r="O29">
        <v>513000000</v>
      </c>
      <c r="P29">
        <v>1.8731942500000001</v>
      </c>
      <c r="Q29">
        <v>0.22332215</v>
      </c>
      <c r="R29">
        <v>1.6904583</v>
      </c>
      <c r="S29">
        <v>1.9960100000000001</v>
      </c>
    </row>
    <row r="30" spans="1:19" x14ac:dyDescent="0.25">
      <c r="A30" t="s">
        <v>92</v>
      </c>
      <c r="B30">
        <v>24.75</v>
      </c>
      <c r="C30">
        <v>33.29</v>
      </c>
      <c r="D30">
        <v>24.15</v>
      </c>
      <c r="E30">
        <v>31.06</v>
      </c>
      <c r="F30">
        <v>103344715</v>
      </c>
      <c r="G30">
        <v>183112569</v>
      </c>
      <c r="H30">
        <v>5126172220.9423504</v>
      </c>
      <c r="I30">
        <v>133300000</v>
      </c>
      <c r="J30">
        <v>530799999.99999899</v>
      </c>
      <c r="K30">
        <v>0.64883568000000003</v>
      </c>
      <c r="L30">
        <v>13.120986819871501</v>
      </c>
      <c r="M30">
        <v>2.3500393438653799</v>
      </c>
      <c r="N30">
        <v>1125700000</v>
      </c>
      <c r="O30">
        <v>513000000</v>
      </c>
      <c r="P30">
        <v>1.8731942500000001</v>
      </c>
      <c r="Q30">
        <v>0.22332215</v>
      </c>
      <c r="R30">
        <v>1.6904583</v>
      </c>
      <c r="S30">
        <v>1.9960100000000001</v>
      </c>
    </row>
    <row r="31" spans="1:19" x14ac:dyDescent="0.25">
      <c r="A31" s="15"/>
      <c r="L31" s="11"/>
    </row>
    <row r="32" spans="1:19" x14ac:dyDescent="0.25">
      <c r="A32" s="15"/>
      <c r="L32" s="11"/>
    </row>
    <row r="33" spans="1:12" x14ac:dyDescent="0.25">
      <c r="A33" s="15"/>
      <c r="L33" s="11"/>
    </row>
    <row r="34" spans="1:12" x14ac:dyDescent="0.25">
      <c r="A34" s="15"/>
      <c r="L34" s="11"/>
    </row>
    <row r="35" spans="1:12" x14ac:dyDescent="0.25">
      <c r="A35" s="15"/>
    </row>
    <row r="36" spans="1:12" x14ac:dyDescent="0.25">
      <c r="A36" s="15"/>
    </row>
    <row r="37" spans="1:12" x14ac:dyDescent="0.25">
      <c r="A37" s="15"/>
    </row>
    <row r="38" spans="1:12" x14ac:dyDescent="0.25">
      <c r="A38" s="15"/>
    </row>
    <row r="39" spans="1:12" x14ac:dyDescent="0.25">
      <c r="A39" s="15"/>
    </row>
    <row r="40" spans="1:12" x14ac:dyDescent="0.25">
      <c r="A40" s="15"/>
    </row>
    <row r="41" spans="1:12" x14ac:dyDescent="0.25">
      <c r="A41" s="15"/>
    </row>
    <row r="42" spans="1:12" x14ac:dyDescent="0.25">
      <c r="A42" s="15"/>
    </row>
    <row r="43" spans="1:12" x14ac:dyDescent="0.25">
      <c r="A43" s="15"/>
    </row>
    <row r="44" spans="1:12" x14ac:dyDescent="0.25">
      <c r="A44" s="15"/>
    </row>
    <row r="45" spans="1:12" x14ac:dyDescent="0.25">
      <c r="A45" s="15"/>
    </row>
    <row r="46" spans="1:12" x14ac:dyDescent="0.25">
      <c r="A46" s="15"/>
    </row>
    <row r="47" spans="1:12" x14ac:dyDescent="0.25">
      <c r="A47" s="15"/>
    </row>
    <row r="48" spans="1:12" x14ac:dyDescent="0.25">
      <c r="A48" s="15"/>
    </row>
    <row r="49" spans="1:1" x14ac:dyDescent="0.25">
      <c r="A49" s="15"/>
    </row>
    <row r="50" spans="1:1" x14ac:dyDescent="0.25">
      <c r="A50" s="15"/>
    </row>
    <row r="51" spans="1:1" x14ac:dyDescent="0.25">
      <c r="A51" s="15"/>
    </row>
    <row r="52" spans="1:1" x14ac:dyDescent="0.25">
      <c r="A52" s="15"/>
    </row>
    <row r="53" spans="1:1" x14ac:dyDescent="0.25">
      <c r="A53" s="15"/>
    </row>
    <row r="54" spans="1:1" x14ac:dyDescent="0.25">
      <c r="A54" s="15"/>
    </row>
    <row r="55" spans="1:1" x14ac:dyDescent="0.25">
      <c r="A55" s="15"/>
    </row>
    <row r="56" spans="1:1" x14ac:dyDescent="0.25">
      <c r="A56" s="15"/>
    </row>
    <row r="57" spans="1:1" x14ac:dyDescent="0.25">
      <c r="A57" s="15"/>
    </row>
    <row r="58" spans="1:1" x14ac:dyDescent="0.25">
      <c r="A58" s="15"/>
    </row>
    <row r="59" spans="1:1" x14ac:dyDescent="0.25">
      <c r="A59" s="15"/>
    </row>
    <row r="60" spans="1:1" x14ac:dyDescent="0.25">
      <c r="A60" s="15"/>
    </row>
    <row r="61" spans="1:1" x14ac:dyDescent="0.25">
      <c r="A61" s="15"/>
    </row>
    <row r="62" spans="1:1" x14ac:dyDescent="0.25">
      <c r="A62" s="15"/>
    </row>
    <row r="63" spans="1:1" x14ac:dyDescent="0.25">
      <c r="A63" s="15"/>
    </row>
    <row r="64" spans="1:1" x14ac:dyDescent="0.25">
      <c r="A64" s="15"/>
    </row>
    <row r="65" spans="1:1" x14ac:dyDescent="0.25">
      <c r="A65" s="15"/>
    </row>
    <row r="66" spans="1:1" x14ac:dyDescent="0.25">
      <c r="A66" s="15"/>
    </row>
    <row r="67" spans="1:1" x14ac:dyDescent="0.25">
      <c r="A67" s="15"/>
    </row>
    <row r="68" spans="1:1" x14ac:dyDescent="0.25">
      <c r="A68" s="15"/>
    </row>
    <row r="69" spans="1:1" x14ac:dyDescent="0.25">
      <c r="A69" s="15"/>
    </row>
    <row r="70" spans="1:1" x14ac:dyDescent="0.25">
      <c r="A70" s="15"/>
    </row>
    <row r="71" spans="1:1" x14ac:dyDescent="0.25">
      <c r="A71" s="15"/>
    </row>
    <row r="72" spans="1:1" x14ac:dyDescent="0.25">
      <c r="A72" s="15"/>
    </row>
    <row r="73" spans="1:1" x14ac:dyDescent="0.25">
      <c r="A73" s="15"/>
    </row>
    <row r="74" spans="1:1" x14ac:dyDescent="0.25">
      <c r="A74" s="15"/>
    </row>
    <row r="75" spans="1:1" x14ac:dyDescent="0.25">
      <c r="A75" s="15"/>
    </row>
    <row r="76" spans="1:1" x14ac:dyDescent="0.25">
      <c r="A76" s="15"/>
    </row>
    <row r="77" spans="1:1" x14ac:dyDescent="0.25">
      <c r="A77" s="15"/>
    </row>
    <row r="78" spans="1:1" x14ac:dyDescent="0.25">
      <c r="A78" s="15"/>
    </row>
    <row r="79" spans="1:1" x14ac:dyDescent="0.25">
      <c r="A79" s="15"/>
    </row>
    <row r="80" spans="1:1" x14ac:dyDescent="0.25">
      <c r="A80" s="15"/>
    </row>
    <row r="81" spans="1:1" x14ac:dyDescent="0.25">
      <c r="A81" s="15"/>
    </row>
    <row r="82" spans="1:1" x14ac:dyDescent="0.25">
      <c r="A82" s="15"/>
    </row>
    <row r="83" spans="1:1" x14ac:dyDescent="0.25">
      <c r="A83" s="15"/>
    </row>
    <row r="84" spans="1:1" x14ac:dyDescent="0.25">
      <c r="A84" s="15"/>
    </row>
    <row r="85" spans="1:1" x14ac:dyDescent="0.25">
      <c r="A85" s="15"/>
    </row>
    <row r="86" spans="1:1" x14ac:dyDescent="0.25">
      <c r="A86" s="15"/>
    </row>
    <row r="87" spans="1:1" x14ac:dyDescent="0.25">
      <c r="A87" s="15"/>
    </row>
    <row r="88" spans="1:1" x14ac:dyDescent="0.25">
      <c r="A88" s="15"/>
    </row>
    <row r="89" spans="1:1" x14ac:dyDescent="0.25">
      <c r="A89" s="15"/>
    </row>
    <row r="90" spans="1:1" x14ac:dyDescent="0.25">
      <c r="A90" s="15"/>
    </row>
    <row r="91" spans="1:1" x14ac:dyDescent="0.25">
      <c r="A91" s="15"/>
    </row>
    <row r="92" spans="1:1" x14ac:dyDescent="0.25">
      <c r="A92" s="15"/>
    </row>
    <row r="93" spans="1:1" x14ac:dyDescent="0.25">
      <c r="A93" s="15"/>
    </row>
    <row r="94" spans="1:1" x14ac:dyDescent="0.25">
      <c r="A94" s="15"/>
    </row>
    <row r="95" spans="1:1" x14ac:dyDescent="0.25">
      <c r="A95" s="15"/>
    </row>
    <row r="96" spans="1:1" x14ac:dyDescent="0.25">
      <c r="A96" s="15"/>
    </row>
    <row r="97" spans="1:1" x14ac:dyDescent="0.25">
      <c r="A97" s="15"/>
    </row>
    <row r="98" spans="1:1" x14ac:dyDescent="0.25">
      <c r="A98" s="15"/>
    </row>
    <row r="99" spans="1:1" x14ac:dyDescent="0.25">
      <c r="A99" s="15"/>
    </row>
    <row r="100" spans="1:1" x14ac:dyDescent="0.25">
      <c r="A100" s="15"/>
    </row>
    <row r="101" spans="1:1" x14ac:dyDescent="0.25">
      <c r="A101" s="15"/>
    </row>
    <row r="102" spans="1:1" x14ac:dyDescent="0.25">
      <c r="A102" s="15"/>
    </row>
    <row r="103" spans="1:1" x14ac:dyDescent="0.25">
      <c r="A103" s="15"/>
    </row>
    <row r="104" spans="1:1" x14ac:dyDescent="0.25">
      <c r="A104" s="15"/>
    </row>
    <row r="105" spans="1:1" x14ac:dyDescent="0.25">
      <c r="A105" s="15"/>
    </row>
    <row r="106" spans="1:1" x14ac:dyDescent="0.25">
      <c r="A106" s="15"/>
    </row>
    <row r="107" spans="1:1" x14ac:dyDescent="0.25">
      <c r="A107" s="15"/>
    </row>
    <row r="108" spans="1:1" x14ac:dyDescent="0.25">
      <c r="A108" s="15"/>
    </row>
    <row r="109" spans="1:1" x14ac:dyDescent="0.25">
      <c r="A109" s="15"/>
    </row>
    <row r="110" spans="1:1" x14ac:dyDescent="0.25">
      <c r="A110" s="15"/>
    </row>
    <row r="111" spans="1:1" x14ac:dyDescent="0.25">
      <c r="A111" s="15"/>
    </row>
    <row r="112" spans="1:1" x14ac:dyDescent="0.25">
      <c r="A112" s="15"/>
    </row>
    <row r="113" spans="1:1" x14ac:dyDescent="0.25">
      <c r="A113" s="15"/>
    </row>
    <row r="114" spans="1:1" x14ac:dyDescent="0.25">
      <c r="A114" s="15"/>
    </row>
    <row r="115" spans="1:1" x14ac:dyDescent="0.25">
      <c r="A115" s="15"/>
    </row>
    <row r="116" spans="1:1" x14ac:dyDescent="0.25">
      <c r="A116" s="15"/>
    </row>
    <row r="117" spans="1:1" x14ac:dyDescent="0.25">
      <c r="A117" s="15"/>
    </row>
    <row r="118" spans="1:1" x14ac:dyDescent="0.25">
      <c r="A118" s="15"/>
    </row>
    <row r="119" spans="1:1" x14ac:dyDescent="0.25">
      <c r="A119" s="15"/>
    </row>
    <row r="120" spans="1:1" x14ac:dyDescent="0.25">
      <c r="A120" s="15"/>
    </row>
    <row r="121" spans="1:1" x14ac:dyDescent="0.25">
      <c r="A121" s="15"/>
    </row>
    <row r="122" spans="1:1" x14ac:dyDescent="0.25">
      <c r="A122" s="15"/>
    </row>
    <row r="123" spans="1:1" x14ac:dyDescent="0.25">
      <c r="A123" s="15"/>
    </row>
    <row r="124" spans="1:1" x14ac:dyDescent="0.25">
      <c r="A124" s="15"/>
    </row>
    <row r="125" spans="1:1" x14ac:dyDescent="0.25">
      <c r="A125" s="15"/>
    </row>
    <row r="126" spans="1:1" x14ac:dyDescent="0.25">
      <c r="A126" s="15"/>
    </row>
    <row r="127" spans="1:1" x14ac:dyDescent="0.25">
      <c r="A127" s="15"/>
    </row>
    <row r="128" spans="1:1" x14ac:dyDescent="0.25">
      <c r="A128" s="15"/>
    </row>
    <row r="129" spans="1:1" x14ac:dyDescent="0.25">
      <c r="A129" s="15"/>
    </row>
    <row r="130" spans="1:1" x14ac:dyDescent="0.25">
      <c r="A130" s="15"/>
    </row>
    <row r="131" spans="1:1" x14ac:dyDescent="0.25">
      <c r="A131" s="15"/>
    </row>
    <row r="132" spans="1:1" x14ac:dyDescent="0.25">
      <c r="A132" s="15"/>
    </row>
    <row r="133" spans="1:1" x14ac:dyDescent="0.25">
      <c r="A133" s="15"/>
    </row>
    <row r="134" spans="1:1" x14ac:dyDescent="0.25">
      <c r="A134" s="15"/>
    </row>
    <row r="135" spans="1:1" x14ac:dyDescent="0.25">
      <c r="A135" s="15"/>
    </row>
    <row r="136" spans="1:1" x14ac:dyDescent="0.25">
      <c r="A136" s="15"/>
    </row>
    <row r="137" spans="1:1" x14ac:dyDescent="0.25">
      <c r="A137" s="15"/>
    </row>
    <row r="138" spans="1:1" x14ac:dyDescent="0.25">
      <c r="A138" s="15"/>
    </row>
    <row r="139" spans="1:1" x14ac:dyDescent="0.25">
      <c r="A139" s="15"/>
    </row>
    <row r="140" spans="1:1" x14ac:dyDescent="0.25">
      <c r="A140" s="15"/>
    </row>
    <row r="141" spans="1:1" x14ac:dyDescent="0.25">
      <c r="A141" s="15"/>
    </row>
    <row r="142" spans="1:1" x14ac:dyDescent="0.25">
      <c r="A142" s="15"/>
    </row>
    <row r="143" spans="1:1" x14ac:dyDescent="0.25">
      <c r="A143" s="15"/>
    </row>
    <row r="144" spans="1:1" x14ac:dyDescent="0.25">
      <c r="A144" s="15"/>
    </row>
    <row r="145" spans="1:1" x14ac:dyDescent="0.25">
      <c r="A145" s="15"/>
    </row>
    <row r="146" spans="1:1" x14ac:dyDescent="0.25">
      <c r="A146" s="15"/>
    </row>
    <row r="147" spans="1:1" x14ac:dyDescent="0.25">
      <c r="A147" s="15"/>
    </row>
    <row r="148" spans="1:1" x14ac:dyDescent="0.25">
      <c r="A148" s="15"/>
    </row>
    <row r="149" spans="1:1" x14ac:dyDescent="0.25">
      <c r="A149" s="15"/>
    </row>
    <row r="150" spans="1:1" x14ac:dyDescent="0.25">
      <c r="A150" s="15"/>
    </row>
    <row r="151" spans="1:1" x14ac:dyDescent="0.25">
      <c r="A151" s="15"/>
    </row>
    <row r="152" spans="1:1" x14ac:dyDescent="0.25">
      <c r="A152" s="15"/>
    </row>
    <row r="153" spans="1:1" x14ac:dyDescent="0.25">
      <c r="A153" s="15"/>
    </row>
    <row r="154" spans="1:1" x14ac:dyDescent="0.25">
      <c r="A154" s="15"/>
    </row>
    <row r="155" spans="1:1" x14ac:dyDescent="0.25">
      <c r="A155" s="15"/>
    </row>
    <row r="156" spans="1:1" x14ac:dyDescent="0.25">
      <c r="A156" s="15"/>
    </row>
    <row r="157" spans="1:1" x14ac:dyDescent="0.25">
      <c r="A157" s="15"/>
    </row>
    <row r="158" spans="1:1" x14ac:dyDescent="0.25">
      <c r="A158" s="15"/>
    </row>
    <row r="159" spans="1:1" x14ac:dyDescent="0.25">
      <c r="A159" s="15"/>
    </row>
    <row r="160" spans="1:1" x14ac:dyDescent="0.25">
      <c r="A160" s="15"/>
    </row>
    <row r="161" spans="1:1" x14ac:dyDescent="0.25">
      <c r="A161" s="15"/>
    </row>
    <row r="162" spans="1:1" x14ac:dyDescent="0.25">
      <c r="A162" s="15"/>
    </row>
    <row r="163" spans="1:1" x14ac:dyDescent="0.25">
      <c r="A163" s="15"/>
    </row>
    <row r="164" spans="1:1" x14ac:dyDescent="0.25">
      <c r="A164" s="15"/>
    </row>
    <row r="165" spans="1:1" x14ac:dyDescent="0.25">
      <c r="A165" s="15"/>
    </row>
    <row r="166" spans="1:1" x14ac:dyDescent="0.25">
      <c r="A166" s="15"/>
    </row>
    <row r="167" spans="1:1" x14ac:dyDescent="0.25">
      <c r="A167" s="15"/>
    </row>
    <row r="168" spans="1:1" x14ac:dyDescent="0.25">
      <c r="A168" s="15"/>
    </row>
    <row r="169" spans="1:1" x14ac:dyDescent="0.25">
      <c r="A169" s="15"/>
    </row>
    <row r="170" spans="1:1" x14ac:dyDescent="0.25">
      <c r="A170" s="15"/>
    </row>
    <row r="171" spans="1:1" x14ac:dyDescent="0.25">
      <c r="A171" s="15"/>
    </row>
    <row r="172" spans="1:1" x14ac:dyDescent="0.25">
      <c r="A172" s="15"/>
    </row>
    <row r="173" spans="1:1" x14ac:dyDescent="0.25">
      <c r="A173" s="15"/>
    </row>
    <row r="174" spans="1:1" x14ac:dyDescent="0.25">
      <c r="A174" s="15"/>
    </row>
    <row r="175" spans="1:1" x14ac:dyDescent="0.25">
      <c r="A175" s="15"/>
    </row>
    <row r="176" spans="1:1" x14ac:dyDescent="0.25">
      <c r="A176" s="15"/>
    </row>
    <row r="177" spans="1:1" x14ac:dyDescent="0.25">
      <c r="A177" s="15"/>
    </row>
    <row r="178" spans="1:1" x14ac:dyDescent="0.25">
      <c r="A178" s="15"/>
    </row>
    <row r="179" spans="1:1" x14ac:dyDescent="0.25">
      <c r="A179" s="15"/>
    </row>
    <row r="180" spans="1:1" x14ac:dyDescent="0.25">
      <c r="A180" s="15"/>
    </row>
    <row r="181" spans="1:1" x14ac:dyDescent="0.25">
      <c r="A181" s="15"/>
    </row>
    <row r="182" spans="1:1" x14ac:dyDescent="0.25">
      <c r="A182" s="15"/>
    </row>
    <row r="183" spans="1:1" x14ac:dyDescent="0.25">
      <c r="A183" s="15"/>
    </row>
    <row r="184" spans="1:1" x14ac:dyDescent="0.25">
      <c r="A184" s="15"/>
    </row>
    <row r="185" spans="1:1" x14ac:dyDescent="0.25">
      <c r="A185" s="15"/>
    </row>
    <row r="186" spans="1:1" x14ac:dyDescent="0.25">
      <c r="A186" s="15"/>
    </row>
    <row r="187" spans="1:1" x14ac:dyDescent="0.25">
      <c r="A187" s="15"/>
    </row>
    <row r="188" spans="1:1" x14ac:dyDescent="0.25">
      <c r="A188" s="15"/>
    </row>
    <row r="189" spans="1:1" x14ac:dyDescent="0.25">
      <c r="A189" s="15"/>
    </row>
    <row r="190" spans="1:1" x14ac:dyDescent="0.25">
      <c r="A190" s="15"/>
    </row>
    <row r="191" spans="1:1" x14ac:dyDescent="0.25">
      <c r="A191" s="15"/>
    </row>
    <row r="192" spans="1:1" x14ac:dyDescent="0.25">
      <c r="A192" s="15"/>
    </row>
    <row r="193" spans="1:1" x14ac:dyDescent="0.25">
      <c r="A193" s="15"/>
    </row>
    <row r="194" spans="1:1" x14ac:dyDescent="0.25">
      <c r="A194" s="15"/>
    </row>
    <row r="195" spans="1:1" x14ac:dyDescent="0.25">
      <c r="A195" s="15"/>
    </row>
    <row r="196" spans="1:1" x14ac:dyDescent="0.25">
      <c r="A196" s="15"/>
    </row>
    <row r="197" spans="1:1" x14ac:dyDescent="0.25">
      <c r="A197" s="15"/>
    </row>
    <row r="198" spans="1:1" x14ac:dyDescent="0.25">
      <c r="A198" s="15"/>
    </row>
    <row r="199" spans="1:1" x14ac:dyDescent="0.25">
      <c r="A199" s="15"/>
    </row>
    <row r="200" spans="1:1" x14ac:dyDescent="0.25">
      <c r="A200" s="15"/>
    </row>
    <row r="201" spans="1:1" x14ac:dyDescent="0.25">
      <c r="A201" s="15"/>
    </row>
    <row r="202" spans="1:1" x14ac:dyDescent="0.25">
      <c r="A202" s="15"/>
    </row>
    <row r="203" spans="1:1" x14ac:dyDescent="0.25">
      <c r="A203" s="15"/>
    </row>
    <row r="204" spans="1:1" x14ac:dyDescent="0.25">
      <c r="A204" s="15"/>
    </row>
    <row r="205" spans="1:1" x14ac:dyDescent="0.25">
      <c r="A205" s="15"/>
    </row>
    <row r="206" spans="1:1" x14ac:dyDescent="0.25">
      <c r="A206" s="15"/>
    </row>
    <row r="207" spans="1:1" x14ac:dyDescent="0.25">
      <c r="A207" s="15"/>
    </row>
    <row r="208" spans="1:1" x14ac:dyDescent="0.25">
      <c r="A208" s="15"/>
    </row>
    <row r="209" spans="1:1" x14ac:dyDescent="0.25">
      <c r="A209" s="15"/>
    </row>
    <row r="210" spans="1:1" x14ac:dyDescent="0.25">
      <c r="A210" s="15"/>
    </row>
    <row r="211" spans="1:1" x14ac:dyDescent="0.25">
      <c r="A211" s="15"/>
    </row>
    <row r="212" spans="1:1" x14ac:dyDescent="0.25">
      <c r="A212" s="15"/>
    </row>
    <row r="213" spans="1:1" x14ac:dyDescent="0.25">
      <c r="A213" s="15"/>
    </row>
    <row r="214" spans="1:1" x14ac:dyDescent="0.25">
      <c r="A214" s="15"/>
    </row>
    <row r="215" spans="1:1" x14ac:dyDescent="0.25">
      <c r="A215" s="15"/>
    </row>
    <row r="216" spans="1:1" x14ac:dyDescent="0.25">
      <c r="A216" s="15"/>
    </row>
    <row r="217" spans="1:1" x14ac:dyDescent="0.25">
      <c r="A217" s="15"/>
    </row>
    <row r="218" spans="1:1" x14ac:dyDescent="0.25">
      <c r="A218" s="15"/>
    </row>
    <row r="219" spans="1:1" x14ac:dyDescent="0.25">
      <c r="A219" s="15"/>
    </row>
    <row r="220" spans="1:1" x14ac:dyDescent="0.25">
      <c r="A220" s="15"/>
    </row>
    <row r="221" spans="1:1" x14ac:dyDescent="0.25">
      <c r="A221" s="15"/>
    </row>
    <row r="222" spans="1:1" x14ac:dyDescent="0.25">
      <c r="A222" s="15"/>
    </row>
    <row r="223" spans="1:1" x14ac:dyDescent="0.25">
      <c r="A223" s="15"/>
    </row>
    <row r="224" spans="1:1" x14ac:dyDescent="0.25">
      <c r="A224" s="15"/>
    </row>
    <row r="225" spans="1:1" x14ac:dyDescent="0.25">
      <c r="A225" s="15"/>
    </row>
    <row r="226" spans="1:1" x14ac:dyDescent="0.25">
      <c r="A226" s="15"/>
    </row>
    <row r="227" spans="1:1" x14ac:dyDescent="0.25">
      <c r="A227" s="15"/>
    </row>
    <row r="228" spans="1:1" x14ac:dyDescent="0.25">
      <c r="A228" s="15"/>
    </row>
    <row r="229" spans="1:1" x14ac:dyDescent="0.25">
      <c r="A229" s="15"/>
    </row>
    <row r="230" spans="1:1" x14ac:dyDescent="0.25">
      <c r="A230" s="15"/>
    </row>
    <row r="231" spans="1:1" x14ac:dyDescent="0.25">
      <c r="A231" s="15"/>
    </row>
    <row r="232" spans="1:1" x14ac:dyDescent="0.25">
      <c r="A232" s="15"/>
    </row>
    <row r="233" spans="1:1" x14ac:dyDescent="0.25">
      <c r="A233" s="15"/>
    </row>
    <row r="234" spans="1:1" x14ac:dyDescent="0.25">
      <c r="A234" s="15"/>
    </row>
    <row r="235" spans="1:1" x14ac:dyDescent="0.25">
      <c r="A235" s="15"/>
    </row>
    <row r="236" spans="1:1" x14ac:dyDescent="0.25">
      <c r="A236" s="15"/>
    </row>
    <row r="237" spans="1:1" x14ac:dyDescent="0.25">
      <c r="A237" s="15"/>
    </row>
    <row r="238" spans="1:1" x14ac:dyDescent="0.25">
      <c r="A238" s="15"/>
    </row>
    <row r="239" spans="1:1" x14ac:dyDescent="0.25">
      <c r="A239" s="15"/>
    </row>
    <row r="240" spans="1:1" x14ac:dyDescent="0.25">
      <c r="A240" s="15"/>
    </row>
    <row r="241" spans="1:1" x14ac:dyDescent="0.25">
      <c r="A241" s="15"/>
    </row>
    <row r="242" spans="1:1" x14ac:dyDescent="0.25">
      <c r="A242" s="15"/>
    </row>
    <row r="243" spans="1:1" x14ac:dyDescent="0.25">
      <c r="A243" s="15"/>
    </row>
    <row r="244" spans="1:1" x14ac:dyDescent="0.25">
      <c r="A244" s="15"/>
    </row>
    <row r="245" spans="1:1" x14ac:dyDescent="0.25">
      <c r="A245" s="15"/>
    </row>
    <row r="246" spans="1:1" x14ac:dyDescent="0.25">
      <c r="A246" s="15"/>
    </row>
    <row r="247" spans="1:1" x14ac:dyDescent="0.25">
      <c r="A247" s="15"/>
    </row>
    <row r="248" spans="1:1" x14ac:dyDescent="0.25">
      <c r="A248" s="15"/>
    </row>
    <row r="249" spans="1:1" x14ac:dyDescent="0.25">
      <c r="A249" s="15"/>
    </row>
    <row r="250" spans="1:1" x14ac:dyDescent="0.25">
      <c r="A250" s="15"/>
    </row>
    <row r="251" spans="1:1" x14ac:dyDescent="0.25">
      <c r="A251" s="15"/>
    </row>
    <row r="252" spans="1:1" x14ac:dyDescent="0.25">
      <c r="A252" s="15"/>
    </row>
    <row r="253" spans="1:1" x14ac:dyDescent="0.25">
      <c r="A253" s="15"/>
    </row>
    <row r="254" spans="1:1" x14ac:dyDescent="0.25">
      <c r="A254" s="15"/>
    </row>
    <row r="255" spans="1:1" x14ac:dyDescent="0.25">
      <c r="A255" s="15"/>
    </row>
    <row r="256" spans="1:1" x14ac:dyDescent="0.25">
      <c r="A256" s="15"/>
    </row>
    <row r="257" spans="1:1" x14ac:dyDescent="0.25">
      <c r="A257" s="15"/>
    </row>
    <row r="258" spans="1:1" x14ac:dyDescent="0.25">
      <c r="A258" s="15"/>
    </row>
    <row r="259" spans="1:1" x14ac:dyDescent="0.25">
      <c r="A259" s="15"/>
    </row>
    <row r="260" spans="1:1" x14ac:dyDescent="0.25">
      <c r="A260" s="15"/>
    </row>
    <row r="261" spans="1:1" x14ac:dyDescent="0.25">
      <c r="A261" s="15"/>
    </row>
    <row r="262" spans="1:1" x14ac:dyDescent="0.25">
      <c r="A262" s="15"/>
    </row>
    <row r="263" spans="1:1" x14ac:dyDescent="0.25">
      <c r="A263" s="15"/>
    </row>
    <row r="264" spans="1:1" x14ac:dyDescent="0.25">
      <c r="A264" s="15"/>
    </row>
    <row r="265" spans="1:1" x14ac:dyDescent="0.25">
      <c r="A265" s="15"/>
    </row>
    <row r="266" spans="1:1" x14ac:dyDescent="0.25">
      <c r="A266" s="15"/>
    </row>
    <row r="267" spans="1:1" x14ac:dyDescent="0.25">
      <c r="A267" s="15"/>
    </row>
    <row r="268" spans="1:1" x14ac:dyDescent="0.25">
      <c r="A268" s="15"/>
    </row>
    <row r="269" spans="1:1" x14ac:dyDescent="0.25">
      <c r="A269" s="15"/>
    </row>
    <row r="270" spans="1:1" x14ac:dyDescent="0.25">
      <c r="A270" s="15"/>
    </row>
    <row r="271" spans="1:1" x14ac:dyDescent="0.25">
      <c r="A271" s="15"/>
    </row>
    <row r="272" spans="1:1" x14ac:dyDescent="0.25">
      <c r="A272" s="15"/>
    </row>
  </sheetData>
  <sheetProtection algorithmName="SHA-512" hashValue="IVgpQXx5IFLcOzdngWZIVvRHOJPs+I7IHpKkhBej+dlu8/l51OX5ysZ3bxxm2Hx8+MR2c1emkghOGfirbs0big==" saltValue="vJw01Xw4oBRsx4rvvF3pog==" spinCount="100000" sheet="1" objects="1" scenarios="1"/>
  <protectedRanges>
    <protectedRange sqref="A10:S272" name="Range1"/>
  </protectedRanges>
  <hyperlinks>
    <hyperlink ref="A7" r:id="rId1" xr:uid="{82115311-C378-42C4-AC5B-6AE5D0263C7D}"/>
  </hyperlinks>
  <pageMargins left="0.7" right="0.7" top="0.75" bottom="0.75" header="0.3" footer="0.3"/>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7FDD-9A52-4362-B68D-298646201455}">
  <dimension ref="A2:C15"/>
  <sheetViews>
    <sheetView workbookViewId="0">
      <selection activeCell="F16" sqref="F16"/>
    </sheetView>
  </sheetViews>
  <sheetFormatPr defaultRowHeight="15" x14ac:dyDescent="0.25"/>
  <cols>
    <col min="1" max="1" width="13.7109375" customWidth="1"/>
  </cols>
  <sheetData>
    <row r="2" spans="1:3" x14ac:dyDescent="0.25">
      <c r="A2" s="61" t="s">
        <v>123</v>
      </c>
      <c r="B2" s="61">
        <v>44.5</v>
      </c>
    </row>
    <row r="3" spans="1:3" x14ac:dyDescent="0.25">
      <c r="A3" s="61" t="s">
        <v>124</v>
      </c>
      <c r="B3" s="61">
        <v>29.7</v>
      </c>
    </row>
    <row r="4" spans="1:3" x14ac:dyDescent="0.25">
      <c r="A4" s="61" t="s">
        <v>125</v>
      </c>
      <c r="B4" s="62">
        <v>0.32</v>
      </c>
    </row>
    <row r="5" spans="1:3" x14ac:dyDescent="0.25">
      <c r="A5" s="61" t="s">
        <v>126</v>
      </c>
      <c r="B5" s="61">
        <v>1.37</v>
      </c>
    </row>
    <row r="6" spans="1:3" x14ac:dyDescent="0.25">
      <c r="A6" s="61" t="s">
        <v>127</v>
      </c>
      <c r="B6" s="63">
        <v>3.3700000000000001E-2</v>
      </c>
      <c r="C6" t="s">
        <v>128</v>
      </c>
    </row>
    <row r="7" spans="1:3" x14ac:dyDescent="0.25">
      <c r="A7" s="61" t="s">
        <v>129</v>
      </c>
      <c r="B7" s="61">
        <v>1.65</v>
      </c>
    </row>
    <row r="8" spans="1:3" x14ac:dyDescent="0.25">
      <c r="A8" s="61" t="s">
        <v>130</v>
      </c>
      <c r="B8" s="62">
        <v>7.0000000000000007E-2</v>
      </c>
    </row>
    <row r="10" spans="1:3" x14ac:dyDescent="0.25">
      <c r="A10" t="s">
        <v>131</v>
      </c>
      <c r="B10" s="64">
        <f>rfrate+beta*(mktret-rfrate)</f>
        <v>9.3595000000000012E-2</v>
      </c>
      <c r="C10" t="s">
        <v>132</v>
      </c>
    </row>
    <row r="11" spans="1:3" x14ac:dyDescent="0.25">
      <c r="A11" t="s">
        <v>133</v>
      </c>
      <c r="B11" s="65">
        <f>intexp/debt</f>
        <v>4.6127946127946136E-2</v>
      </c>
      <c r="C11" t="s">
        <v>134</v>
      </c>
    </row>
    <row r="13" spans="1:3" x14ac:dyDescent="0.25">
      <c r="A13" t="s">
        <v>135</v>
      </c>
      <c r="B13">
        <f>equity/(equity+debt)</f>
        <v>0.59973045822102422</v>
      </c>
      <c r="C13" t="s">
        <v>136</v>
      </c>
    </row>
    <row r="14" spans="1:3" x14ac:dyDescent="0.25">
      <c r="A14" t="s">
        <v>137</v>
      </c>
      <c r="B14">
        <f>debt/(equity+debt)</f>
        <v>0.40026954177897572</v>
      </c>
      <c r="C14" t="s">
        <v>138</v>
      </c>
    </row>
    <row r="15" spans="1:3" x14ac:dyDescent="0.25">
      <c r="A15" s="66" t="s">
        <v>1</v>
      </c>
      <c r="B15" s="67">
        <f>+B13*costeq+B14*costdebt*(1-corptax)</f>
        <v>6.8687028301886791E-2</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7796461C-C958-44D8-A241-0C23DF8858EB}">
  <ds:schemaRefs/>
</ds:datastoreItem>
</file>

<file path=customXml/itemProps2.xml><?xml version="1.0" encoding="utf-8"?>
<ds:datastoreItem xmlns:ds="http://schemas.openxmlformats.org/officeDocument/2006/customXml" ds:itemID="{FDECD38A-6FAF-4F72-A4FF-3E8F4459A024}">
  <ds:schemaRefs/>
</ds:datastoreItem>
</file>

<file path=customXml/itemProps3.xml><?xml version="1.0" encoding="utf-8"?>
<ds:datastoreItem xmlns:ds="http://schemas.openxmlformats.org/officeDocument/2006/customXml" ds:itemID="{1BBCB5ED-9A2A-406C-832E-DF4CAEC493E7}">
  <ds:schemaRefs/>
</ds:datastoreItem>
</file>

<file path=customXml/itemProps4.xml><?xml version="1.0" encoding="utf-8"?>
<ds:datastoreItem xmlns:ds="http://schemas.openxmlformats.org/officeDocument/2006/customXml" ds:itemID="{BBB16972-65C9-472A-8635-6EDC68A20921}">
  <ds:schemaRefs/>
</ds:datastoreItem>
</file>

<file path=customXml/itemProps5.xml><?xml version="1.0" encoding="utf-8"?>
<ds:datastoreItem xmlns:ds="http://schemas.openxmlformats.org/officeDocument/2006/customXml" ds:itemID="{5B927BA0-75B9-4B31-8A5C-C0B5E77EA69C}">
  <ds:schemaRefs/>
</ds:datastoreItem>
</file>

<file path=customXml/itemProps6.xml><?xml version="1.0" encoding="utf-8"?>
<ds:datastoreItem xmlns:ds="http://schemas.openxmlformats.org/officeDocument/2006/customXml" ds:itemID="{3F17FC65-BB9C-4A6C-96FB-424BC3E439C2}">
  <ds:schemaRefs/>
</ds:datastoreItem>
</file>

<file path=customXml/itemProps7.xml><?xml version="1.0" encoding="utf-8"?>
<ds:datastoreItem xmlns:ds="http://schemas.openxmlformats.org/officeDocument/2006/customXml" ds:itemID="{5451553F-40DD-4C8B-A18E-F81930DB420D}">
  <ds:schemaRefs/>
</ds:datastoreItem>
</file>

<file path=customXml/itemProps8.xml><?xml version="1.0" encoding="utf-8"?>
<ds:datastoreItem xmlns:ds="http://schemas.openxmlformats.org/officeDocument/2006/customXml" ds:itemID="{FEB7AC60-9BCC-4DB1-BA98-E439982C678A}">
  <ds:schemaRefs/>
</ds:datastoreItem>
</file>

<file path=customXml/itemProps9.xml><?xml version="1.0" encoding="utf-8"?>
<ds:datastoreItem xmlns:ds="http://schemas.openxmlformats.org/officeDocument/2006/customXml" ds:itemID="{BBF6DCB5-5109-41B4-ABC2-8446E2F51E8B}">
  <ds:schemaRefs/>
</ds:datastoreItem>
</file>

<file path=customXml/itemProps10.xml><?xml version="1.0" encoding="utf-8"?>
<ds:datastoreItem xmlns:ds="http://schemas.openxmlformats.org/officeDocument/2006/customXml" ds:itemID="{EC55CB0F-A8E6-4286-902D-8888ED3A90E5}">
  <ds:schemaRefs/>
</ds:datastoreItem>
</file>

<file path=customXml/itemProps11.xml><?xml version="1.0" encoding="utf-8"?>
<ds:datastoreItem xmlns:ds="http://schemas.openxmlformats.org/officeDocument/2006/customXml" ds:itemID="{D9EA9AAB-7C34-407B-93FC-F1E6D039EEB9}">
  <ds:schemaRefs/>
</ds:datastoreItem>
</file>

<file path=customXml/itemProps12.xml><?xml version="1.0" encoding="utf-8"?>
<ds:datastoreItem xmlns:ds="http://schemas.openxmlformats.org/officeDocument/2006/customXml" ds:itemID="{6BAE2D71-257C-4BD5-8D1D-D1623627A976}">
  <ds:schemaRefs/>
</ds:datastoreItem>
</file>

<file path=customXml/itemProps13.xml><?xml version="1.0" encoding="utf-8"?>
<ds:datastoreItem xmlns:ds="http://schemas.openxmlformats.org/officeDocument/2006/customXml" ds:itemID="{B31D3757-E04A-4ECD-98EB-805B71CEF600}">
  <ds:schemaRefs/>
</ds:datastoreItem>
</file>

<file path=customXml/itemProps14.xml><?xml version="1.0" encoding="utf-8"?>
<ds:datastoreItem xmlns:ds="http://schemas.openxmlformats.org/officeDocument/2006/customXml" ds:itemID="{8DEDC7D1-EF77-494F-BC51-130BC85A3429}">
  <ds:schemaRefs/>
</ds:datastoreItem>
</file>

<file path=customXml/itemProps15.xml><?xml version="1.0" encoding="utf-8"?>
<ds:datastoreItem xmlns:ds="http://schemas.openxmlformats.org/officeDocument/2006/customXml" ds:itemID="{B87471C8-58B0-45A3-8339-9973235C22AC}">
  <ds:schemaRefs/>
</ds:datastoreItem>
</file>

<file path=customXml/itemProps16.xml><?xml version="1.0" encoding="utf-8"?>
<ds:datastoreItem xmlns:ds="http://schemas.openxmlformats.org/officeDocument/2006/customXml" ds:itemID="{DF59A4D3-30F4-4527-A45B-DAE0A709A137}">
  <ds:schemaRefs/>
</ds:datastoreItem>
</file>

<file path=customXml/itemProps17.xml><?xml version="1.0" encoding="utf-8"?>
<ds:datastoreItem xmlns:ds="http://schemas.openxmlformats.org/officeDocument/2006/customXml" ds:itemID="{DB1A71C4-457F-4D01-AED9-6526DE9F945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26</vt:i4>
      </vt:variant>
    </vt:vector>
  </HeadingPairs>
  <TitlesOfParts>
    <vt:vector size="29" baseType="lpstr">
      <vt:lpstr>Model</vt:lpstr>
      <vt:lpstr>Input</vt:lpstr>
      <vt:lpstr>WACC</vt:lpstr>
      <vt:lpstr>beta</vt:lpstr>
      <vt:lpstr>company</vt:lpstr>
      <vt:lpstr>corptax</vt:lpstr>
      <vt:lpstr>costdebt</vt:lpstr>
      <vt:lpstr>costeq</vt:lpstr>
      <vt:lpstr>debt</vt:lpstr>
      <vt:lpstr>equity</vt:lpstr>
      <vt:lpstr>EV_EBITDA</vt:lpstr>
      <vt:lpstr>FCF</vt:lpstr>
      <vt:lpstr>FCFF6</vt:lpstr>
      <vt:lpstr>growth</vt:lpstr>
      <vt:lpstr>intexp</vt:lpstr>
      <vt:lpstr>mktret</vt:lpstr>
      <vt:lpstr>per_growth</vt:lpstr>
      <vt:lpstr>pvffcf</vt:lpstr>
      <vt:lpstr>rfrate</vt:lpstr>
      <vt:lpstr>seed_year</vt:lpstr>
      <vt:lpstr>shares</vt:lpstr>
      <vt:lpstr>term_method</vt:lpstr>
      <vt:lpstr>term_methods</vt:lpstr>
      <vt:lpstr>terminal_mult</vt:lpstr>
      <vt:lpstr>time_data</vt:lpstr>
      <vt:lpstr>tv</vt:lpstr>
      <vt:lpstr>tv_or</vt:lpstr>
      <vt:lpstr>val_price</vt:lpstr>
      <vt:lpstr>WACC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dc:creator>
  <cp:lastModifiedBy>Robert Maxwell</cp:lastModifiedBy>
  <dcterms:created xsi:type="dcterms:W3CDTF">2022-03-25T12:47:47Z</dcterms:created>
  <dcterms:modified xsi:type="dcterms:W3CDTF">2022-12-09T18:13:25Z</dcterms:modified>
</cp:coreProperties>
</file>