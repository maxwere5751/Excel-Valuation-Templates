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workbookPr defaultThemeVersion="166925"/>
  <mc:AlternateContent xmlns:mc="http://schemas.openxmlformats.org/markup-compatibility/2006">
    <mc:Choice Requires="x15">
      <x15ac:absPath xmlns:x15ac="http://schemas.microsoft.com/office/spreadsheetml/2010/11/ac" url="C:\Users\maxwe\OneDrive\Documents\Templates\"/>
    </mc:Choice>
  </mc:AlternateContent>
  <xr:revisionPtr revIDLastSave="0" documentId="13_ncr:1_{7FD2A269-F2C9-408B-B105-37DBB37FBEFD}" xr6:coauthVersionLast="47" xr6:coauthVersionMax="47" xr10:uidLastSave="{00000000-0000-0000-0000-000000000000}"/>
  <bookViews>
    <workbookView xWindow="-28920" yWindow="-270" windowWidth="29040" windowHeight="15720" xr2:uid="{B46BC4C2-5AE2-49D6-BA89-8E5E519A0A76}"/>
  </bookViews>
  <sheets>
    <sheet name="ResourceValuation" sheetId="1" r:id="rId1"/>
    <sheet name="tables" sheetId="2" r:id="rId2"/>
  </sheets>
  <definedNames>
    <definedName name="production">ResourceValuation!$B$5</definedName>
    <definedName name="spotaisc">ResourceValuation!$B$4</definedName>
    <definedName name="spotprice">ResourceValuation!$B$3</definedName>
    <definedName name="year">ResourceValuation!$B$2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2" l="1" a="1"/>
  <c r="B2" i="2" s="1"/>
  <c r="B3" i="1" s="1"/>
  <c r="B9" i="1" s="1"/>
  <c r="B3" i="2" a="1"/>
  <c r="B3" i="2" s="1"/>
  <c r="B4" i="2" a="1"/>
  <c r="B4" i="2" s="1"/>
  <c r="E1" i="1"/>
  <c r="F1" i="1" s="1"/>
  <c r="G1" i="1" s="1"/>
  <c r="H1" i="1" s="1"/>
  <c r="I1"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futureMetadata>
  <cellMetadata count="1">
    <bk>
      <rc t="1" v="0"/>
    </bk>
  </cellMetadata>
  <valueMetadata count="4">
    <bk>
      <rc t="2" v="0"/>
    </bk>
    <bk>
      <rc t="2" v="1"/>
    </bk>
    <bk>
      <rc t="2" v="2"/>
    </bk>
    <bk>
      <rc t="2" v="3"/>
    </bk>
  </valueMetadata>
</metadata>
</file>

<file path=xl/sharedStrings.xml><?xml version="1.0" encoding="utf-8"?>
<sst xmlns="http://schemas.openxmlformats.org/spreadsheetml/2006/main" count="15" uniqueCount="13">
  <si>
    <t>AISC</t>
  </si>
  <si>
    <t>Production</t>
  </si>
  <si>
    <t>Year</t>
  </si>
  <si>
    <t>Discount</t>
  </si>
  <si>
    <t>Forward Rate</t>
  </si>
  <si>
    <t>Material</t>
  </si>
  <si>
    <t>Uranium</t>
  </si>
  <si>
    <t>Spot</t>
  </si>
  <si>
    <t>copper</t>
  </si>
  <si>
    <t>Terminal</t>
  </si>
  <si>
    <t>FCF</t>
  </si>
  <si>
    <t>Spot Price</t>
  </si>
  <si>
    <t>Company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</si>
</sst>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_(* \(#,##0.00\);_(* &quot;-&quot;??_);_(@_)"/>
    <numFmt numFmtId="164" formatCode="_([$$-409]* #,##0.00_);_([$$-409]* \(#,##0.00\);_([$$-409]* &quot;-&quot;??_);_(@_)"/>
    <numFmt numFmtId="166" formatCode="_(* #,##0_);_(* \(#,##0\);_(* &quot;-&quot;??_);_(@_)"/>
    <numFmt numFmtId="167" formatCode="#,##0,,"/>
  </numFmts>
  <fonts count="4" x14ac:knownFonts="1">
    <font>
      <sz val="11"/>
      <color theme="1"/>
      <name val="Calibri"/>
      <family val="2"/>
      <scheme val="minor"/>
    </font>
    <font>
      <sz val="11"/>
      <color theme="1"/>
      <name val="Calibri"/>
      <family val="2"/>
      <scheme val="minor"/>
    </font>
    <font>
      <sz val="11"/>
      <color rgb="FF3F3F76"/>
      <name val="Calibri"/>
      <family val="2"/>
      <scheme val="minor"/>
    </font>
    <font>
      <b/>
      <sz val="11"/>
      <color rgb="FF3F3F3F"/>
      <name val="Calibri"/>
      <family val="2"/>
      <scheme val="minor"/>
    </font>
  </fonts>
  <fills count="4">
    <fill>
      <patternFill patternType="none"/>
    </fill>
    <fill>
      <patternFill patternType="gray125"/>
    </fill>
    <fill>
      <patternFill patternType="solid">
        <fgColor rgb="FFFFCC99"/>
      </patternFill>
    </fill>
    <fill>
      <patternFill patternType="solid">
        <fgColor rgb="FFF2F2F2"/>
      </patternFill>
    </fill>
  </fills>
  <borders count="3">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s>
  <cellStyleXfs count="4">
    <xf numFmtId="0" fontId="0" fillId="0" borderId="0"/>
    <xf numFmtId="43" fontId="1" fillId="0" borderId="0" applyFont="0" applyFill="0" applyBorder="0" applyAlignment="0" applyProtection="0"/>
    <xf numFmtId="0" fontId="2" fillId="2" borderId="1" applyNumberFormat="0" applyAlignment="0" applyProtection="0"/>
    <xf numFmtId="0" fontId="3" fillId="3" borderId="2" applyNumberFormat="0" applyAlignment="0" applyProtection="0"/>
  </cellStyleXfs>
  <cellXfs count="11">
    <xf numFmtId="0" fontId="0" fillId="0" borderId="0" xfId="0"/>
    <xf numFmtId="0" fontId="0" fillId="0" borderId="0" xfId="0" quotePrefix="1"/>
    <xf numFmtId="0" fontId="0" fillId="0" borderId="0" xfId="0" applyAlignment="1">
      <alignment horizontal="right"/>
    </xf>
    <xf numFmtId="164" fontId="0" fillId="0" borderId="0" xfId="0" applyNumberFormat="1"/>
    <xf numFmtId="0" fontId="2" fillId="2" borderId="1" xfId="2"/>
    <xf numFmtId="9" fontId="2" fillId="2" borderId="1" xfId="2" applyNumberFormat="1"/>
    <xf numFmtId="0" fontId="2" fillId="2" borderId="0" xfId="2" applyBorder="1"/>
    <xf numFmtId="166" fontId="2" fillId="2" borderId="1" xfId="1" applyNumberFormat="1" applyFont="1" applyFill="1" applyBorder="1"/>
    <xf numFmtId="167" fontId="0" fillId="0" borderId="0" xfId="0" applyNumberFormat="1"/>
    <xf numFmtId="0" fontId="2" fillId="2" borderId="1" xfId="2" applyAlignment="1">
      <alignment horizontal="right"/>
    </xf>
    <xf numFmtId="0" fontId="3" fillId="3" borderId="2" xfId="3"/>
  </cellXfs>
  <cellStyles count="4">
    <cellStyle name="Comma" xfId="1" builtinId="3"/>
    <cellStyle name="Input" xfId="2" builtinId="20"/>
    <cellStyle name="Normal" xfId="0" builtinId="0"/>
    <cellStyle name="Output" xfId="3" builtinId="21"/>
  </cellStyles>
  <dxfs count="1">
    <dxf>
      <numFmt numFmtId="164" formatCode="_([$$-409]* #,##0.00_);_([$$-409]* \(#,##0.00\);_([$$-409]* &quot;-&quot;??_);_(@_)"/>
    </dxf>
  </dxfs>
  <tableStyles count="1" defaultTableStyle="TableStyleMedium2" defaultPivotStyle="PivotStyleLight16">
    <tableStyle name="Invisible" pivot="0" table="0" count="0" xr9:uid="{84880B94-2CE6-4EB0-BF00-90754C198022}"/>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Structure" Target="richData/rdrichvaluestructure.xml"/><Relationship Id="rId13" Type="http://schemas.openxmlformats.org/officeDocument/2006/relationships/calcChain" Target="calcChain.xml"/><Relationship Id="rId3" Type="http://schemas.openxmlformats.org/officeDocument/2006/relationships/theme" Target="theme/theme1.xml"/><Relationship Id="rId7" Type="http://schemas.microsoft.com/office/2017/06/relationships/rdRichValue" Target="richData/rdrichvalue.xml"/><Relationship Id="rId12" Type="http://schemas.microsoft.com/office/2017/06/relationships/rdRichValueTypes" Target="richData/rdRichValueTyp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11" Type="http://schemas.microsoft.com/office/2017/06/relationships/rdSupportingPropertyBag" Target="richData/rdsupportingpropertybag.xml"/><Relationship Id="rId5" Type="http://schemas.openxmlformats.org/officeDocument/2006/relationships/sharedStrings" Target="sharedStrings.xml"/><Relationship Id="rId10" Type="http://schemas.microsoft.com/office/2017/06/relationships/rdSupportingPropertyBagStructure" Target="richData/rdsupportingpropertybagstructure.xml"/><Relationship Id="rId4" Type="http://schemas.openxmlformats.org/officeDocument/2006/relationships/styles" Target="styles.xml"/><Relationship Id="rId9" Type="http://schemas.microsoft.com/office/2017/06/relationships/richStyles" Target="richData/richStyles.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2">
  <rv s="0">
    <v>https://www.bing.com/financeapi/forcetrigger?t=auvwoc&amp;q=Gold&amp;form=skydnc</v>
    <v>Learn more on Bing</v>
  </rv>
  <rv s="1">
    <v>en-US</v>
    <v>auvwoc</v>
    <v>268435456</v>
    <v>1</v>
    <v>Powered by Refinitiv</v>
    <v>0</v>
    <v>Gold</v>
    <v>2</v>
    <v>3</v>
    <v>Finance</v>
    <v>Metal</v>
    <v>-1.7</v>
    <v>-1.0399999999999999E-3</v>
    <v>US</v>
    <v>USD</v>
    <v>43830</v>
    <v>Future</v>
    <v>44854.874962048438</v>
    <v>0</v>
    <v>12</v>
    <v>Gold</v>
    <v>1632.5</v>
    <v>@GC0Y</v>
    <v>OZS</v>
    <v>Gold</v>
    <v>2019</v>
  </rv>
  <rv s="2">
    <v>1</v>
  </rv>
  <rv s="0">
    <v>https://www.bing.com/financeapi/forcetrigger?t=aazhhw&amp;q=XTSE%3aPAAS&amp;form=skydnc</v>
    <v>Learn more on Bing</v>
  </rv>
  <rv s="3">
    <v>en-US</v>
    <v>aazhhw</v>
    <v>268435456</v>
    <v>1</v>
    <v>Powered by Refinitiv</v>
    <v>4</v>
    <v>Pan American Silver Corp. (XTSE:PAAS)</v>
    <v>5</v>
    <v>6</v>
    <v>Finance</v>
    <v>7</v>
    <v>38.51</v>
    <v>18.945</v>
    <v>1.1237999999999999</v>
    <v>0.37</v>
    <v>0</v>
    <v>1.7544000000000001E-2</v>
    <v>0</v>
    <v>CAD</v>
    <v>Pan American Silver Corp. is a mining company. The Company is engaged in the production and sale of silver, gold, zinc, lead and copper as well as other related activities, including exploration, extraction, processing, refining and reclamation. The Company operates in Silver and Gold segments. It has a diversified portfolio of mining and exploration assets located throughout the Americas. The Company owns approximately 10 mining operations, which include La Colorada, Dolores, Huaron, Morococha, San Vicente, Manantial Espejo, Shahuindo, La Arena, Timmins and Escobal. The Company’s products are produced from mines in Canada, Peru, Mexico, Argentina and Bolivia. In addition, the Company has project development activities in Canada, Peru, Mexico and Argentina, and exploration activities throughout South America, Canada and Mexico.</v>
    <v>7100</v>
    <v>Toronto Stock Exchange</v>
    <v>XTSE</v>
    <v>XTSE</v>
    <v>1500-625 Howe Street, VANCOUVER, BC, V6C 2T6 CA</v>
    <v>21.87</v>
    <v>Metals &amp; Mining</v>
    <v>Stock</v>
    <v>44854.833333333336</v>
    <v>3</v>
    <v>21.06</v>
    <v>4448654000</v>
    <v>Pan American Silver Corp.</v>
    <v>Pan American Silver Corp.</v>
    <v>21.13</v>
    <v>25.02</v>
    <v>21.09</v>
    <v>21.46</v>
    <v>21.46</v>
    <v>210538200</v>
    <v>PAAS</v>
    <v>Pan American Silver Corp. (XTSE:PAAS)</v>
    <v>384581</v>
    <v>504080</v>
    <v>1979</v>
  </rv>
  <rv s="2">
    <v>4</v>
  </rv>
  <rv s="0">
    <v>https://www.bing.com/financeapi/forcetrigger?t=auvwr7&amp;q=Silver&amp;form=skydnc</v>
    <v>Learn more on Bing</v>
  </rv>
  <rv s="1">
    <v>en-US</v>
    <v>auvwr7</v>
    <v>268435456</v>
    <v>1</v>
    <v>Powered by Refinitiv</v>
    <v>0</v>
    <v>Silver</v>
    <v>2</v>
    <v>3</v>
    <v>Finance</v>
    <v>Metal</v>
    <v>0.251</v>
    <v>1.3672E-2</v>
    <v>US</v>
    <v>USD</v>
    <v>43830</v>
    <v>Future</v>
    <v>44854.874972082813</v>
    <v>6</v>
    <v>12</v>
    <v>Silver</v>
    <v>18.61</v>
    <v>@SI0Y</v>
    <v>OZS</v>
    <v>Silver</v>
    <v>2019</v>
  </rv>
  <rv s="2">
    <v>7</v>
  </rv>
  <rv s="0">
    <v>https://www.bing.com/financeapi/forcetrigger?t=auvwu2&amp;q=Platinum&amp;form=skydnc</v>
    <v>Learn more on Bing</v>
  </rv>
  <rv s="1">
    <v>en-US</v>
    <v>auvwu2</v>
    <v>268435456</v>
    <v>1</v>
    <v>Powered by Refinitiv</v>
    <v>0</v>
    <v>Platinum</v>
    <v>2</v>
    <v>3</v>
    <v>Finance</v>
    <v>Metal</v>
    <v>33.200000000000003</v>
    <v>3.7679999999999998E-2</v>
    <v>US</v>
    <v>USD</v>
    <v>43861</v>
    <v>Future</v>
    <v>44854.874947673437</v>
    <v>9</v>
    <v>1</v>
    <v>Platinum</v>
    <v>914.3</v>
    <v>@PL0Y</v>
    <v>OZS</v>
    <v>Platinum</v>
    <v>2020</v>
  </rv>
  <rv s="2">
    <v>10</v>
  </rv>
</rvData>
</file>

<file path=xl/richData/rdrichvaluestructure.xml><?xml version="1.0" encoding="utf-8"?>
<rvStructures xmlns="http://schemas.microsoft.com/office/spreadsheetml/2017/richdata" count="4">
  <s t="_hyperlink">
    <k n="Address" t="s"/>
    <k n="Text" t="s"/>
  </s>
  <s t="_linkedentitycore">
    <k n="%EntityCulture" t="s"/>
    <k n="%EntityId" t="s"/>
    <k n="%EntityServiceId"/>
    <k n="%IsRefreshable" t="b"/>
    <k n="%ProviderInfo" t="s"/>
    <k n="_Display" t="spb"/>
    <k n="_DisplayString" t="s"/>
    <k n="_Flags" t="spb"/>
    <k n="_Format" t="spb"/>
    <k n="_Icon" t="s"/>
    <k n="Category" t="s"/>
    <k n="Change"/>
    <k n="Change (%)"/>
    <k n="Country/region" t="s"/>
    <k n="Currency" t="s"/>
    <k n="Expiration Date"/>
    <k n="Instrument type" t="s"/>
    <k n="Last trade time"/>
    <k n="LearnMoreOnLink" t="r"/>
    <k n="Month"/>
    <k n="Name" t="s"/>
    <k n="Price"/>
    <k n="Ticker symbol" t="s"/>
    <k n="Trade Unit" t="s"/>
    <k n="UniqueName" t="s"/>
    <k n="Year"/>
  </s>
  <s t="_linkedentity">
    <k n="%cvi" t="r"/>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2">
    <a count="26">
      <v t="s">%EntityServiceId</v>
      <v t="s">_Format</v>
      <v t="s">%IsRefreshable</v>
      <v t="s">%EntityCulture</v>
      <v t="s">%EntityId</v>
      <v t="s">_Icon</v>
      <v t="s">_Display</v>
      <v t="s">Name</v>
      <v t="s">Price</v>
      <v t="s">Last trade time</v>
      <v t="s">Ticker symbol</v>
      <v t="s">Change</v>
      <v t="s">Change (%)</v>
      <v t="s">Currency</v>
      <v t="s">Category</v>
      <v t="s">Expiration Date</v>
      <v t="s">Trade Unit</v>
      <v t="s">Year</v>
      <v t="s">Month</v>
      <v t="s">Country/region</v>
      <v t="s">Instrument type</v>
      <v t="s">_Flags</v>
      <v t="s">UniqueName</v>
      <v t="s">_DisplayString</v>
      <v t="s">LearnMoreOnLink</v>
      <v t="s">%ProviderInfo</v>
    </a>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8">
    <spb s="0">
      <v>0</v>
      <v>Name</v>
      <v>LearnMoreOnLink</v>
    </spb>
    <spb s="1">
      <v>0</v>
      <v>0</v>
      <v>0</v>
    </spb>
    <spb s="2">
      <v>1</v>
      <v>1</v>
      <v>1</v>
    </spb>
    <spb s="3">
      <v>1</v>
      <v>2</v>
      <v>2</v>
      <v>3</v>
      <v>3</v>
      <v>4</v>
      <v>5</v>
      <v>6</v>
      <v>7</v>
    </spb>
    <spb s="0">
      <v>1</v>
      <v>Name</v>
      <v>LearnMoreOnLink</v>
    </spb>
    <spb s="4">
      <v>1</v>
      <v>1</v>
      <v>1</v>
      <v>1</v>
    </spb>
    <spb s="5">
      <v>8</v>
      <v>9</v>
      <v>9</v>
      <v>8</v>
      <v>1</v>
      <v>8</v>
      <v>8</v>
      <v>8</v>
      <v>10</v>
      <v>10</v>
      <v>4</v>
      <v>11</v>
      <v>8</v>
      <v>8</v>
      <v>8</v>
      <v>10</v>
      <v>6</v>
      <v>2</v>
      <v>7</v>
      <v>10</v>
      <v>8</v>
      <v>8</v>
      <v>4</v>
    </spb>
    <spb s="6">
      <v>at close</v>
      <v>from previous close</v>
      <v>from previous close</v>
      <v>GMT</v>
      <v>Delayed 20 minutes</v>
      <v>from close</v>
      <v>from close</v>
    </spb>
  </spbData>
</supportingPropertyBags>
</file>

<file path=xl/richData/rdsupportingpropertybagstructure.xml><?xml version="1.0" encoding="utf-8"?>
<spbStructures xmlns="http://schemas.microsoft.com/office/spreadsheetml/2017/richdata2" count="7">
  <s>
    <k n="^Order" t="spba"/>
    <k n="TitleProperty" t="s"/>
    <k n="SubTitleProperty" t="s"/>
  </s>
  <s>
    <k n="ShowInCardView" t="b"/>
    <k n="ShowInDotNotation" t="b"/>
    <k n="ShowInAutoComplete" t="b"/>
  </s>
  <s>
    <k n="UniqueName" t="spb"/>
    <k n="`%ProviderInfo" t="spb"/>
    <k n="LearnMoreOnLink" t="spb"/>
  </s>
  <s>
    <k n="Name" t="i"/>
    <k n="Year" t="i"/>
    <k n="Month" t="i"/>
    <k n="Price" t="i"/>
    <k n="Change" t="i"/>
    <k n="Change (%)" t="i"/>
    <k n="Expiration Date" t="i"/>
    <k n="Last trade time" t="i"/>
    <k n="`%EntityServiceId" t="i"/>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x:dxf>
      <x:numFmt numFmtId="19" formatCode="m/d/yyyy"/>
    </x:dxf>
  </dxfs>
  <richProperties>
    <rPr n="IsTitleField" t="b"/>
    <rPr n="NumberFormat" t="s"/>
  </richProperties>
  <richStyles>
    <rSty>
      <rpv i="0">1</rpv>
    </rSty>
    <rSty dxfid="6">
      <rpv i="1">0</rpv>
    </rSty>
    <rSty dxfid="1">
      <rpv i="1">_([$$-en-US]* #,##0.00_);_([$$-en-US]* (#,##0.00);_([$$-en-US]* "-"??_);_(@_)</rpv>
    </rSty>
    <rSty dxfid="3"/>
    <rSty dxfid="7"/>
    <rSty dxfid="2"/>
    <rSty dxfid="0">
      <rpv i="1">0.00</rpv>
    </rSty>
    <rSty dxfid="1">
      <rpv i="1">_-[$$-en-CA]* #,##0.00_-;-[$$-en-CA]* #,##0.00_-;_-[$$-en-CA]* "-"??_-;_-@_-</rpv>
    </rSty>
    <rSty dxfid="5">
      <rpv i="1">#,##0.00</rpv>
    </rSty>
    <rSty dxfid="4">
      <rpv i="1">#,##0</rpv>
    </rSty>
    <rSty dxfid="1">
      <rpv i="1">_-[$$-en-CA]* #,##0_-;-[$$-en-CA]* #,##0_-;_-[$$-en-CA]*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99AF287-BA80-420D-8B2A-55A43F994526}" name="resource" displayName="resource" ref="A1:B6" totalsRowShown="0">
  <autoFilter ref="A1:B6" xr:uid="{E99AF287-BA80-420D-8B2A-55A43F994526}"/>
  <tableColumns count="2">
    <tableColumn id="1" xr3:uid="{B2BFC01F-F399-4561-932A-46B6499ABCAE}" name="Material"/>
    <tableColumn id="2" xr3:uid="{B92DB241-15B7-48B2-85EC-B1BAE18CE7C1}" name="Spo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541B0-E8C6-4B71-823A-99557E4C8984}">
  <dimension ref="A1:K21"/>
  <sheetViews>
    <sheetView tabSelected="1" workbookViewId="0">
      <selection activeCell="I17" sqref="I17"/>
    </sheetView>
  </sheetViews>
  <sheetFormatPr defaultRowHeight="15" x14ac:dyDescent="0.25"/>
  <cols>
    <col min="1" max="1" width="16" customWidth="1"/>
    <col min="2" max="2" width="14.7109375" customWidth="1"/>
    <col min="10" max="10" width="3" customWidth="1"/>
  </cols>
  <sheetData>
    <row r="1" spans="1:11" x14ac:dyDescent="0.25">
      <c r="A1" s="4" t="s">
        <v>5</v>
      </c>
      <c r="B1" s="9" t="e" vm="1">
        <v>#VALUE!</v>
      </c>
      <c r="E1">
        <f>B2+1</f>
        <v>2023</v>
      </c>
      <c r="F1">
        <f>E1+1</f>
        <v>2024</v>
      </c>
      <c r="G1">
        <f t="shared" ref="G1:I1" si="0">F1+1</f>
        <v>2025</v>
      </c>
      <c r="H1">
        <f t="shared" si="0"/>
        <v>2026</v>
      </c>
      <c r="I1">
        <f t="shared" si="0"/>
        <v>2027</v>
      </c>
      <c r="K1" t="s">
        <v>9</v>
      </c>
    </row>
    <row r="2" spans="1:11" x14ac:dyDescent="0.25">
      <c r="A2" s="4" t="s">
        <v>2</v>
      </c>
      <c r="B2" s="4">
        <v>2022</v>
      </c>
      <c r="D2" s="2" t="s">
        <v>4</v>
      </c>
      <c r="E2" s="4">
        <v>1728</v>
      </c>
      <c r="F2" s="4">
        <v>1785</v>
      </c>
      <c r="G2" s="4">
        <v>1828</v>
      </c>
      <c r="H2" s="4">
        <v>1857</v>
      </c>
      <c r="I2" s="4">
        <v>1885</v>
      </c>
    </row>
    <row r="3" spans="1:11" x14ac:dyDescent="0.25">
      <c r="A3" s="10" t="s">
        <v>11</v>
      </c>
      <c r="B3" s="10">
        <f>VLOOKUP(B1,resource[],2,FALSE)</f>
        <v>1632.5</v>
      </c>
      <c r="D3" s="2" t="s">
        <v>0</v>
      </c>
      <c r="E3" s="4">
        <v>1400</v>
      </c>
      <c r="F3" s="4">
        <v>1400</v>
      </c>
      <c r="G3" s="4">
        <v>1400</v>
      </c>
      <c r="H3" s="4">
        <v>1400</v>
      </c>
      <c r="I3" s="4">
        <v>1400</v>
      </c>
    </row>
    <row r="4" spans="1:11" x14ac:dyDescent="0.25">
      <c r="A4" s="4" t="s">
        <v>0</v>
      </c>
      <c r="B4" s="4">
        <v>1400</v>
      </c>
    </row>
    <row r="5" spans="1:11" x14ac:dyDescent="0.25">
      <c r="A5" s="4" t="s">
        <v>1</v>
      </c>
      <c r="B5" s="7">
        <v>100000</v>
      </c>
    </row>
    <row r="6" spans="1:11" x14ac:dyDescent="0.25">
      <c r="A6" s="4" t="s">
        <v>3</v>
      </c>
      <c r="B6" s="5">
        <v>0.05</v>
      </c>
    </row>
    <row r="7" spans="1:11" x14ac:dyDescent="0.25">
      <c r="A7" s="4" t="s">
        <v>12</v>
      </c>
      <c r="B7" s="9" t="e" vm="2">
        <v>#VALUE!</v>
      </c>
    </row>
    <row r="9" spans="1:11" x14ac:dyDescent="0.25">
      <c r="A9" s="6" t="s">
        <v>10</v>
      </c>
      <c r="B9" s="8">
        <f>(spotprice-spotaisc)*production</f>
        <v>23250000</v>
      </c>
    </row>
    <row r="21" spans="6:6" x14ac:dyDescent="0.25">
      <c r="F21" s="1"/>
    </row>
  </sheetData>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0851F52-EF8A-40BE-BA67-C7874CEC8C04}">
          <x14:formula1>
            <xm:f>tables!$A$2:$A$6</xm:f>
          </x14:formula1>
          <xm:sqref>B1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974DC-1787-4CE0-A947-42D8F96EFB87}">
  <dimension ref="A1:B6"/>
  <sheetViews>
    <sheetView workbookViewId="0">
      <selection activeCell="G20" sqref="G20"/>
    </sheetView>
  </sheetViews>
  <sheetFormatPr defaultRowHeight="15" x14ac:dyDescent="0.25"/>
  <cols>
    <col min="1" max="1" width="11.28515625" customWidth="1"/>
    <col min="2" max="2" width="13.7109375" customWidth="1"/>
  </cols>
  <sheetData>
    <row r="1" spans="1:2" x14ac:dyDescent="0.25">
      <c r="A1" t="s">
        <v>5</v>
      </c>
      <c r="B1" t="s">
        <v>7</v>
      </c>
    </row>
    <row r="2" spans="1:2" x14ac:dyDescent="0.25">
      <c r="A2" t="e" vm="1">
        <v>#VALUE!</v>
      </c>
      <c r="B2" s="3" cm="1">
        <f t="array" ref="B2">_FV(A2,"Price")</f>
        <v>1632.5</v>
      </c>
    </row>
    <row r="3" spans="1:2" x14ac:dyDescent="0.25">
      <c r="A3" t="e" vm="3">
        <v>#VALUE!</v>
      </c>
      <c r="B3" s="3" cm="1">
        <f t="array" ref="B3">_FV(A3,"Price")</f>
        <v>18.61</v>
      </c>
    </row>
    <row r="4" spans="1:2" x14ac:dyDescent="0.25">
      <c r="A4" t="e" vm="4">
        <v>#VALUE!</v>
      </c>
      <c r="B4" s="3" cm="1">
        <f t="array" ref="B4">_FV(A4,"Price")</f>
        <v>914.3</v>
      </c>
    </row>
    <row r="5" spans="1:2" x14ac:dyDescent="0.25">
      <c r="A5" s="1" t="s">
        <v>6</v>
      </c>
      <c r="B5">
        <v>52</v>
      </c>
    </row>
    <row r="6" spans="1:2" x14ac:dyDescent="0.25">
      <c r="A6" s="1" t="s">
        <v>8</v>
      </c>
      <c r="B6">
        <v>3.41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vt:i4>
      </vt:variant>
    </vt:vector>
  </HeadingPairs>
  <TitlesOfParts>
    <vt:vector size="6" baseType="lpstr">
      <vt:lpstr>ResourceValuation</vt:lpstr>
      <vt:lpstr>tables</vt:lpstr>
      <vt:lpstr>production</vt:lpstr>
      <vt:lpstr>spotaisc</vt:lpstr>
      <vt:lpstr>spotprice</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Maxwell</dc:creator>
  <cp:lastModifiedBy>Robert Maxwell</cp:lastModifiedBy>
  <dcterms:created xsi:type="dcterms:W3CDTF">2022-10-20T20:46:46Z</dcterms:created>
  <dcterms:modified xsi:type="dcterms:W3CDTF">2022-10-20T21:37:25Z</dcterms:modified>
</cp:coreProperties>
</file>