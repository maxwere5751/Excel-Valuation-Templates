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workbookPr defaultThemeVersion="166925"/>
  <mc:AlternateContent xmlns:mc="http://schemas.openxmlformats.org/markup-compatibility/2006">
    <mc:Choice Requires="x15">
      <x15ac:absPath xmlns:x15ac="http://schemas.microsoft.com/office/spreadsheetml/2010/11/ac" url="C:\Users\maxwe\OneDrive\Documents\Templates\"/>
    </mc:Choice>
  </mc:AlternateContent>
  <xr:revisionPtr revIDLastSave="0" documentId="13_ncr:1_{4BB4A14F-DC05-4C63-AA2D-0D518A8D9B67}" xr6:coauthVersionLast="47" xr6:coauthVersionMax="47" xr10:uidLastSave="{00000000-0000-0000-0000-000000000000}"/>
  <bookViews>
    <workbookView xWindow="-28920" yWindow="-60" windowWidth="29040" windowHeight="15720" xr2:uid="{955B37FF-BC72-443D-BA87-C5544CB6E8C9}"/>
  </bookViews>
  <sheets>
    <sheet name="Minerals Asset Valuation" sheetId="1" r:id="rId1"/>
    <sheet name="Shipping Valuation" sheetId="2" r:id="rId2"/>
    <sheet name="Optionality" sheetId="5" r:id="rId3"/>
    <sheet name="tables" sheetId="4" r:id="rId4"/>
  </sheets>
  <definedNames>
    <definedName name="asset">'Minerals Asset Valuation'!$B$33</definedName>
    <definedName name="BDI">'Shipping Valuation'!$B$13</definedName>
    <definedName name="BDI_TCE">'Shipping Valuation'!$B$16</definedName>
    <definedName name="cap">'Minerals Asset Valuation'!$B$10</definedName>
    <definedName name="DiscFactor">'Minerals Asset Valuation'!$B$6</definedName>
    <definedName name="DiscountRate">'Minerals Asset Valuation'!$B$5</definedName>
    <definedName name="EV">'Minerals Asset Valuation'!$B$11</definedName>
    <definedName name="num_vessels">'Shipping Valuation'!$B$10</definedName>
    <definedName name="place">'Minerals Asset Valuation'!$A$31</definedName>
    <definedName name="price">'Minerals Asset Valuation'!$B$8</definedName>
    <definedName name="shares">'Minerals Asset Valuation'!$B$9</definedName>
    <definedName name="ship_disc">'Shipping Valuation'!$B$8</definedName>
    <definedName name="ship_year">'Shipping Valuation'!$B$7</definedName>
    <definedName name="stock">'Minerals Asset Valuation'!$B$3</definedName>
    <definedName name="TCE">'Shipping Valuation'!$B$14</definedName>
    <definedName name="Terminal">'Minerals Asset Valuation'!$B$7</definedName>
    <definedName name="year">'Minerals Asset Valuation'!$B$4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7" i="1" l="1" a="1"/>
  <c r="L7" i="1" s="1"/>
  <c r="B16" i="1"/>
  <c r="B33" i="1"/>
  <c r="C33" i="1" l="1"/>
  <c r="B16" i="2" l="1"/>
  <c r="K6" i="2" s="1"/>
  <c r="C19" i="2"/>
  <c r="H19" i="2"/>
  <c r="D19" i="2"/>
  <c r="E19" i="2"/>
  <c r="F19" i="2"/>
  <c r="G19" i="2"/>
  <c r="A1" i="2" a="1"/>
  <c r="A1" i="2" s="1"/>
  <c r="E16" i="2"/>
  <c r="F16" i="2"/>
  <c r="G16" i="2"/>
  <c r="H15" i="2"/>
  <c r="H16" i="2" s="1"/>
  <c r="D15" i="2"/>
  <c r="D16" i="2" s="1"/>
  <c r="E15" i="2"/>
  <c r="F15" i="2"/>
  <c r="G15" i="2"/>
  <c r="C15" i="2"/>
  <c r="C16" i="2" s="1"/>
  <c r="H5" i="2"/>
  <c r="H6" i="2" s="1"/>
  <c r="H8" i="2" s="1"/>
  <c r="B8" i="1" a="1"/>
  <c r="B8" i="1" s="1"/>
  <c r="H5" i="1" s="1"/>
  <c r="F16" i="1"/>
  <c r="G16" i="1"/>
  <c r="G17" i="1"/>
  <c r="G13" i="1"/>
  <c r="G14" i="1"/>
  <c r="G15" i="1"/>
  <c r="G12" i="1"/>
  <c r="F14" i="1"/>
  <c r="F13" i="1"/>
  <c r="K35" i="2" l="1"/>
  <c r="K34" i="2"/>
  <c r="K33" i="2"/>
  <c r="K23" i="2"/>
  <c r="K22" i="2"/>
  <c r="K17" i="2"/>
  <c r="K15" i="2"/>
  <c r="K29" i="2"/>
  <c r="K28" i="2"/>
  <c r="K16" i="2"/>
  <c r="K27" i="2"/>
  <c r="K26" i="2"/>
  <c r="K5" i="2"/>
  <c r="K25" i="2"/>
  <c r="K13" i="2"/>
  <c r="K14" i="2"/>
  <c r="K36" i="2"/>
  <c r="K24" i="2"/>
  <c r="K12" i="2"/>
  <c r="K11" i="2"/>
  <c r="K10" i="2"/>
  <c r="K7" i="2"/>
  <c r="K21" i="2"/>
  <c r="K9" i="2"/>
  <c r="K32" i="2"/>
  <c r="K20" i="2"/>
  <c r="K8" i="2"/>
  <c r="K31" i="2"/>
  <c r="K19" i="2"/>
  <c r="K30" i="2"/>
  <c r="K18" i="2"/>
  <c r="C21" i="2"/>
  <c r="C23" i="2" s="1"/>
  <c r="F21" i="2"/>
  <c r="G21" i="2"/>
  <c r="H21" i="2"/>
  <c r="D21" i="2"/>
  <c r="E21" i="2"/>
  <c r="C13" i="2"/>
  <c r="D13" i="2" s="1"/>
  <c r="E13" i="2" s="1"/>
  <c r="F13" i="2" s="1"/>
  <c r="G13" i="2" s="1"/>
  <c r="B9" i="2" l="1"/>
  <c r="B6" i="2" a="1"/>
  <c r="B6" i="2" s="1"/>
  <c r="B5" i="2" a="1"/>
  <c r="B5" i="2" s="1"/>
  <c r="B4" i="2" a="1"/>
  <c r="B4" i="2" s="1"/>
  <c r="B26" i="2" s="1"/>
  <c r="F12" i="1"/>
  <c r="F15" i="1"/>
  <c r="F17" i="1"/>
  <c r="D21" i="1"/>
  <c r="E21" i="1" s="1"/>
  <c r="D3" i="1"/>
  <c r="B6" i="1"/>
  <c r="H29" i="1" s="1"/>
  <c r="C28" i="1"/>
  <c r="C31" i="1" s="1"/>
  <c r="D22" i="1"/>
  <c r="E22" i="1" s="1"/>
  <c r="D20" i="1"/>
  <c r="E20" i="1" s="1"/>
  <c r="D33" i="1" l="1"/>
  <c r="E33" i="1" s="1"/>
  <c r="G23" i="2"/>
  <c r="H23" i="2"/>
  <c r="F23" i="2"/>
  <c r="E23" i="2"/>
  <c r="D23" i="2"/>
  <c r="G22" i="1"/>
  <c r="H22" i="1" s="1"/>
  <c r="F22" i="1"/>
  <c r="F21" i="1"/>
  <c r="G20" i="1"/>
  <c r="H20" i="1" s="1"/>
  <c r="F20" i="1"/>
  <c r="G21" i="1"/>
  <c r="H21" i="1" s="1"/>
  <c r="E28" i="1"/>
  <c r="D28" i="1"/>
  <c r="N4" i="1" a="1"/>
  <c r="N4" i="1" s="1"/>
  <c r="N5" i="1" a="1"/>
  <c r="N5" i="1" s="1"/>
  <c r="N3" i="1" a="1"/>
  <c r="N3" i="1" s="1"/>
  <c r="M5" i="1" a="1"/>
  <c r="M5" i="1" s="1"/>
  <c r="M4" i="1" a="1"/>
  <c r="M4" i="1" s="1"/>
  <c r="M3" i="1" a="1"/>
  <c r="M3" i="1" s="1"/>
  <c r="C19" i="1"/>
  <c r="D19" i="1" s="1"/>
  <c r="B17" i="1" a="1"/>
  <c r="B17" i="1" s="1"/>
  <c r="B9" i="1" a="1"/>
  <c r="B9" i="1" s="1"/>
  <c r="B10" i="1" a="1"/>
  <c r="B10" i="1" s="1"/>
  <c r="F33" i="1" l="1"/>
  <c r="G33" i="1" s="1"/>
  <c r="H33" i="1" s="1"/>
  <c r="B23" i="2"/>
  <c r="B25" i="2" s="1"/>
  <c r="L4" i="2" s="1"/>
  <c r="F28" i="1"/>
  <c r="H28" i="1"/>
  <c r="H31" i="1" s="1"/>
  <c r="E19" i="1"/>
  <c r="D29" i="1"/>
  <c r="D31" i="1" s="1"/>
  <c r="G28" i="1"/>
  <c r="B28" i="2" l="1"/>
  <c r="C28" i="2" s="1"/>
  <c r="F19" i="1"/>
  <c r="E29" i="1"/>
  <c r="E31" i="1" s="1"/>
  <c r="G19" i="1" l="1"/>
  <c r="G29" i="1" s="1"/>
  <c r="G31" i="1" s="1"/>
  <c r="F29" i="1"/>
  <c r="F31" i="1" s="1"/>
  <c r="B31" i="1" l="1"/>
  <c r="H4" i="1" s="1"/>
  <c r="L9" i="1" s="1"/>
  <c r="E11" i="1" l="1"/>
  <c r="H7" i="1"/>
  <c r="H8" i="1" l="1"/>
  <c r="H15" i="1"/>
  <c r="H12" i="1" l="1"/>
  <c r="H14" i="1"/>
  <c r="H16" i="1"/>
  <c r="H17" i="1"/>
  <c r="H1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<sst xmlns="http://schemas.openxmlformats.org/spreadsheetml/2006/main" count="75" uniqueCount="66">
  <si>
    <t>Ticker Symbol</t>
  </si>
  <si>
    <t>Price</t>
  </si>
  <si>
    <t>Shares Outstanded (m)</t>
  </si>
  <si>
    <t>Market Cap (m)</t>
  </si>
  <si>
    <t>Industry</t>
  </si>
  <si>
    <t>Asset 1</t>
  </si>
  <si>
    <t>Projection Year</t>
  </si>
  <si>
    <t>Terminal</t>
  </si>
  <si>
    <t>AISC/unit</t>
  </si>
  <si>
    <t>Price PU</t>
  </si>
  <si>
    <t>Discount Rate</t>
  </si>
  <si>
    <t>Terminal Factor</t>
  </si>
  <si>
    <t>Production Unit OR</t>
  </si>
  <si>
    <t>Price PU OR</t>
  </si>
  <si>
    <t>AISC/unit OR</t>
  </si>
  <si>
    <t>Production Unit</t>
  </si>
  <si>
    <t>Discount Factor</t>
  </si>
  <si>
    <t>EV</t>
  </si>
  <si>
    <t>Indicated (m)</t>
  </si>
  <si>
    <t>Inferred (m)</t>
  </si>
  <si>
    <t>Measured (m)</t>
  </si>
  <si>
    <t>Resource Remaining</t>
  </si>
  <si>
    <t>1 - Measured</t>
  </si>
  <si>
    <t>2 - Measured and Indicated</t>
  </si>
  <si>
    <t>3 - M, I &amp; I</t>
  </si>
  <si>
    <t>Valuation Base</t>
  </si>
  <si>
    <t>Discount/(Premium)</t>
  </si>
  <si>
    <t>&lt;&lt; Goal Seek This</t>
  </si>
  <si>
    <t>&lt;&lt; Solving 0 for This</t>
  </si>
  <si>
    <t>EV/Asset</t>
  </si>
  <si>
    <t>prices</t>
  </si>
  <si>
    <t>Leverage</t>
  </si>
  <si>
    <t>Optionality Calc</t>
  </si>
  <si>
    <t>Base Metal</t>
  </si>
  <si>
    <t>Stock</t>
  </si>
  <si>
    <t>Units</t>
  </si>
  <si>
    <t>Minerals Asset Valuation</t>
  </si>
  <si>
    <t>Spot prices</t>
  </si>
  <si>
    <t>Inputs</t>
  </si>
  <si>
    <t>Time Charter Equivalent Rate (TCE)</t>
  </si>
  <si>
    <t>Ticker</t>
  </si>
  <si>
    <t>Market Cap</t>
  </si>
  <si>
    <t>Shares Outstanding</t>
  </si>
  <si>
    <t>Year</t>
  </si>
  <si>
    <t>Overhead/Op Ex</t>
  </si>
  <si>
    <t>Percent Booked</t>
  </si>
  <si>
    <t>Num Vessels</t>
  </si>
  <si>
    <t>Available Days</t>
  </si>
  <si>
    <t>Tax</t>
  </si>
  <si>
    <t>Caculator</t>
  </si>
  <si>
    <t>Expenses Other than Voyage (m)</t>
  </si>
  <si>
    <t>Ships</t>
  </si>
  <si>
    <t>Overhead/Ship (m)</t>
  </si>
  <si>
    <t>OH/day</t>
  </si>
  <si>
    <t>PV Future Earnings</t>
  </si>
  <si>
    <t>Share Price</t>
  </si>
  <si>
    <t>Prem/Discount</t>
  </si>
  <si>
    <t>TCE</t>
  </si>
  <si>
    <t>Utilization Rate &gt;&gt;&gt;</t>
  </si>
  <si>
    <t>vvv</t>
  </si>
  <si>
    <t>Quarterly</t>
  </si>
  <si>
    <t>Current BDI Rate</t>
  </si>
  <si>
    <t>TCE/BDI</t>
  </si>
  <si>
    <t>BDI Equivalent</t>
  </si>
  <si>
    <t>Asset Price</t>
  </si>
  <si>
    <t>Discount to NAV &gt;&gt;&gt;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</si>
</sst>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_(&quot;$&quot;* \(#,##0.00\);_(&quot;$&quot;* &quot;-&quot;??_);_(@_)"/>
    <numFmt numFmtId="43" formatCode="_(* #,##0.00_);_(* \(#,##0.00\);_(* &quot;-&quot;??_);_(@_)"/>
    <numFmt numFmtId="164" formatCode="_([$$-409]* #,##0.00_);_([$$-409]* \(#,##0.00\);_([$$-409]* &quot;-&quot;??_);_(@_)"/>
    <numFmt numFmtId="165" formatCode="_-[$$-1009]* #,##0_-;\-[$$-1009]* #,##0_-;_-[$$-1009]* &quot;-&quot;_-;_-@_-"/>
    <numFmt numFmtId="166" formatCode="0.0"/>
    <numFmt numFmtId="167" formatCode="0.0000"/>
    <numFmt numFmtId="168" formatCode="_(* #,##0_);_(* \(#,##0\);_(* &quot;-&quot;??_);_(@_)"/>
    <numFmt numFmtId="169" formatCode="0.000000000000%"/>
    <numFmt numFmtId="170" formatCode="_([$$-409]* #,##0_);_([$$-409]* \(#,##0\);_([$$-409]* &quot;-&quot;_);_(@_)"/>
    <numFmt numFmtId="171" formatCode="#,##0,,"/>
    <numFmt numFmtId="172" formatCode="0.0%"/>
    <numFmt numFmtId="173" formatCode="_(&quot;$&quot;* #,##0_);_(&quot;$&quot;* \(#,##0\);_(&quot;$&quot;* &quot;-&quot;??_);_(@_)"/>
  </numFmts>
  <fonts count="10"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b/>
      <sz val="16"/>
      <color theme="1"/>
      <name val="Calibri"/>
      <family val="2"/>
      <scheme val="minor"/>
    </font>
    <font>
      <sz val="12"/>
      <color theme="1"/>
      <name val="Calibri"/>
      <family val="2"/>
      <scheme val="minor"/>
    </font>
    <font>
      <b/>
      <sz val="20"/>
      <color theme="1"/>
      <name val="Calibri"/>
      <family val="2"/>
      <scheme val="minor"/>
    </font>
    <font>
      <sz val="10"/>
      <color theme="1"/>
      <name val="Arial"/>
      <family val="2"/>
    </font>
    <font>
      <b/>
      <sz val="14"/>
      <color theme="1"/>
      <name val="Calibri"/>
      <family val="2"/>
      <scheme val="minor"/>
    </font>
    <font>
      <b/>
      <sz val="22"/>
      <color theme="1"/>
      <name val="Calibri"/>
      <family val="2"/>
      <scheme val="minor"/>
    </font>
  </fonts>
  <fills count="3">
    <fill>
      <patternFill patternType="none"/>
    </fill>
    <fill>
      <patternFill patternType="gray125"/>
    </fill>
    <fill>
      <patternFill patternType="solid">
        <fgColor rgb="FFFFCC99"/>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rgb="FF7F7F7F"/>
      </left>
      <right/>
      <top style="thin">
        <color rgb="FF7F7F7F"/>
      </top>
      <bottom style="thin">
        <color rgb="FF7F7F7F"/>
      </bottom>
      <diagonal/>
    </border>
    <border>
      <left style="thin">
        <color rgb="FF7F7F7F"/>
      </left>
      <right style="thin">
        <color rgb="FF7F7F7F"/>
      </right>
      <top/>
      <bottom style="thin">
        <color rgb="FF7F7F7F"/>
      </bottom>
      <diagonal/>
    </border>
    <border>
      <left/>
      <right/>
      <top style="medium">
        <color indexed="64"/>
      </top>
      <bottom/>
      <diagonal/>
    </border>
    <border>
      <left/>
      <right/>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cellStyleXfs>
  <cellXfs count="76">
    <xf numFmtId="0" fontId="0" fillId="0" borderId="0" xfId="0"/>
    <xf numFmtId="164" fontId="0" fillId="0" borderId="0" xfId="0" applyNumberFormat="1"/>
    <xf numFmtId="3" fontId="0" fillId="0" borderId="0" xfId="0" applyNumberFormat="1"/>
    <xf numFmtId="165" fontId="0" fillId="0" borderId="0" xfId="0" applyNumberFormat="1"/>
    <xf numFmtId="0" fontId="2" fillId="2" borderId="1" xfId="4"/>
    <xf numFmtId="4" fontId="0" fillId="0" borderId="0" xfId="0" applyNumberFormat="1"/>
    <xf numFmtId="0" fontId="0" fillId="0" borderId="0" xfId="0" applyAlignment="1">
      <alignment horizontal="right"/>
    </xf>
    <xf numFmtId="9" fontId="2" fillId="2" borderId="1" xfId="4" applyNumberFormat="1"/>
    <xf numFmtId="166" fontId="2" fillId="2" borderId="1" xfId="4" applyNumberFormat="1"/>
    <xf numFmtId="167" fontId="0" fillId="0" borderId="0" xfId="0" applyNumberFormat="1"/>
    <xf numFmtId="165" fontId="2" fillId="2" borderId="1" xfId="4" applyNumberFormat="1"/>
    <xf numFmtId="168" fontId="2" fillId="2" borderId="1" xfId="1" applyNumberFormat="1" applyFont="1" applyFill="1" applyBorder="1"/>
    <xf numFmtId="0" fontId="2" fillId="2" borderId="1" xfId="4" applyAlignment="1">
      <alignment horizontal="right"/>
    </xf>
    <xf numFmtId="0" fontId="4" fillId="0" borderId="3" xfId="0" applyFont="1" applyBorder="1" applyAlignment="1">
      <alignment horizontal="left"/>
    </xf>
    <xf numFmtId="0" fontId="0" fillId="0" borderId="4" xfId="0" applyBorder="1"/>
    <xf numFmtId="0" fontId="0" fillId="0" borderId="5" xfId="0" applyBorder="1"/>
    <xf numFmtId="44" fontId="5" fillId="0" borderId="6" xfId="2" applyFont="1" applyBorder="1"/>
    <xf numFmtId="0" fontId="0" fillId="0" borderId="6" xfId="0" applyBorder="1"/>
    <xf numFmtId="44" fontId="4" fillId="0" borderId="6" xfId="0" applyNumberFormat="1" applyFont="1" applyBorder="1"/>
    <xf numFmtId="0" fontId="0" fillId="0" borderId="7" xfId="0" applyBorder="1"/>
    <xf numFmtId="9" fontId="4" fillId="0" borderId="8" xfId="3" applyFont="1" applyBorder="1"/>
    <xf numFmtId="0" fontId="0" fillId="0" borderId="2" xfId="0" applyBorder="1"/>
    <xf numFmtId="0" fontId="2" fillId="2" borderId="9" xfId="4" applyBorder="1"/>
    <xf numFmtId="0" fontId="2" fillId="2" borderId="10" xfId="4" applyBorder="1"/>
    <xf numFmtId="0" fontId="2" fillId="2" borderId="2" xfId="4" applyBorder="1"/>
    <xf numFmtId="9" fontId="0" fillId="0" borderId="0" xfId="0" applyNumberFormat="1"/>
    <xf numFmtId="0" fontId="0" fillId="0" borderId="0" xfId="0" applyNumberFormat="1"/>
    <xf numFmtId="169" fontId="0" fillId="0" borderId="0" xfId="0" applyNumberFormat="1"/>
    <xf numFmtId="0" fontId="0" fillId="0" borderId="11" xfId="0" applyBorder="1"/>
    <xf numFmtId="44" fontId="0" fillId="0" borderId="0" xfId="2" applyFont="1" applyBorder="1"/>
    <xf numFmtId="9" fontId="0" fillId="0" borderId="0" xfId="3" applyFont="1" applyBorder="1"/>
    <xf numFmtId="0" fontId="0" fillId="0" borderId="0" xfId="0" applyBorder="1"/>
    <xf numFmtId="0" fontId="0" fillId="0" borderId="12" xfId="0" applyBorder="1"/>
    <xf numFmtId="2" fontId="0" fillId="0" borderId="0" xfId="0" applyNumberFormat="1"/>
    <xf numFmtId="0" fontId="3" fillId="0" borderId="0" xfId="0" applyFont="1" applyBorder="1" applyAlignment="1">
      <alignment horizontal="right"/>
    </xf>
    <xf numFmtId="0" fontId="3" fillId="0" borderId="3" xfId="0" applyFont="1" applyBorder="1"/>
    <xf numFmtId="0" fontId="0" fillId="0" borderId="5" xfId="0" applyBorder="1" applyAlignment="1">
      <alignment horizontal="left" indent="1"/>
    </xf>
    <xf numFmtId="43" fontId="0" fillId="0" borderId="6" xfId="1" applyFont="1" applyBorder="1"/>
    <xf numFmtId="44" fontId="0" fillId="0" borderId="12" xfId="2" applyFont="1" applyBorder="1"/>
    <xf numFmtId="9" fontId="0" fillId="0" borderId="12" xfId="3" applyFont="1" applyBorder="1"/>
    <xf numFmtId="43" fontId="0" fillId="0" borderId="8" xfId="1" applyFont="1" applyBorder="1"/>
    <xf numFmtId="0" fontId="6" fillId="0" borderId="0" xfId="0" applyFont="1"/>
    <xf numFmtId="0" fontId="3" fillId="0" borderId="6" xfId="0" applyFont="1" applyBorder="1" applyAlignment="1">
      <alignment horizontal="right"/>
    </xf>
    <xf numFmtId="170" fontId="0" fillId="0" borderId="0" xfId="0" applyNumberFormat="1"/>
    <xf numFmtId="168" fontId="2" fillId="2" borderId="1" xfId="4" applyNumberFormat="1"/>
    <xf numFmtId="0" fontId="0" fillId="0" borderId="0" xfId="0" applyFill="1" applyBorder="1" applyAlignment="1">
      <alignment horizontal="right"/>
    </xf>
    <xf numFmtId="168" fontId="0" fillId="0" borderId="0" xfId="0" applyNumberFormat="1"/>
    <xf numFmtId="44" fontId="0" fillId="0" borderId="0" xfId="2" applyFont="1"/>
    <xf numFmtId="171" fontId="0" fillId="0" borderId="0" xfId="0" applyNumberFormat="1"/>
    <xf numFmtId="44" fontId="0" fillId="0" borderId="0" xfId="0" applyNumberFormat="1"/>
    <xf numFmtId="0" fontId="4" fillId="0" borderId="0" xfId="0" applyFont="1" applyAlignment="1">
      <alignment horizontal="right"/>
    </xf>
    <xf numFmtId="44" fontId="4" fillId="0" borderId="0" xfId="2" applyFont="1"/>
    <xf numFmtId="164" fontId="4" fillId="0" borderId="0" xfId="0" applyNumberFormat="1" applyFont="1"/>
    <xf numFmtId="0" fontId="4" fillId="0" borderId="0" xfId="0" applyFont="1"/>
    <xf numFmtId="4" fontId="4" fillId="0" borderId="0" xfId="0" applyNumberFormat="1" applyFont="1"/>
    <xf numFmtId="0" fontId="4" fillId="0" borderId="0" xfId="0" applyFont="1" applyAlignment="1">
      <alignment horizontal="right" indent="1"/>
    </xf>
    <xf numFmtId="44" fontId="4" fillId="0" borderId="0" xfId="0" applyNumberFormat="1" applyFont="1"/>
    <xf numFmtId="9" fontId="0" fillId="0" borderId="0" xfId="3" applyFont="1"/>
    <xf numFmtId="172" fontId="8" fillId="0" borderId="0" xfId="3" applyNumberFormat="1" applyFont="1"/>
    <xf numFmtId="168" fontId="0" fillId="0" borderId="0" xfId="1" applyNumberFormat="1" applyFont="1"/>
    <xf numFmtId="0" fontId="8" fillId="0" borderId="0" xfId="0" applyFont="1"/>
    <xf numFmtId="0" fontId="9" fillId="0" borderId="0" xfId="0" applyFont="1"/>
    <xf numFmtId="44" fontId="7" fillId="0" borderId="0" xfId="0" applyNumberFormat="1" applyFont="1"/>
    <xf numFmtId="173" fontId="0" fillId="0" borderId="0" xfId="0" applyNumberFormat="1"/>
    <xf numFmtId="166" fontId="0" fillId="0" borderId="0" xfId="0" applyNumberFormat="1"/>
    <xf numFmtId="0" fontId="8" fillId="0" borderId="0" xfId="0" applyFont="1" applyAlignment="1">
      <alignment horizontal="center"/>
    </xf>
    <xf numFmtId="0" fontId="0" fillId="0" borderId="0" xfId="0" applyAlignment="1">
      <alignment horizontal="center"/>
    </xf>
    <xf numFmtId="43" fontId="0" fillId="0" borderId="0" xfId="1" applyFont="1"/>
    <xf numFmtId="0" fontId="3" fillId="0" borderId="0" xfId="0" applyFont="1" applyAlignment="1">
      <alignment horizontal="center"/>
    </xf>
    <xf numFmtId="44" fontId="0" fillId="0" borderId="3" xfId="0" applyNumberFormat="1" applyBorder="1"/>
    <xf numFmtId="0" fontId="0" fillId="0" borderId="4" xfId="0" applyNumberFormat="1" applyBorder="1"/>
    <xf numFmtId="2" fontId="0" fillId="0" borderId="0" xfId="0" applyNumberFormat="1" applyBorder="1"/>
    <xf numFmtId="2" fontId="0" fillId="0" borderId="6" xfId="0" applyNumberFormat="1" applyBorder="1"/>
    <xf numFmtId="2" fontId="0" fillId="0" borderId="12" xfId="0" applyNumberFormat="1" applyBorder="1"/>
    <xf numFmtId="2" fontId="0" fillId="0" borderId="8" xfId="0" applyNumberFormat="1" applyBorder="1"/>
    <xf numFmtId="0" fontId="3" fillId="0" borderId="5" xfId="0" applyFont="1" applyBorder="1"/>
  </cellXfs>
  <cellStyles count="5">
    <cellStyle name="Comma" xfId="1" builtinId="3"/>
    <cellStyle name="Currency" xfId="2" builtinId="4"/>
    <cellStyle name="Input" xfId="4" builtinId="20"/>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5">
  <rv s="0">
    <v>https://www.bing.com/financeapi/forcetrigger?t=aazfgh&amp;q=XTSE%3aNXE&amp;form=skydnc</v>
    <v>Learn more on Bing</v>
  </rv>
  <rv s="1">
    <v>en-US</v>
    <v>aazfgh</v>
    <v>268435456</v>
    <v>1</v>
    <v>Powered by Refinitiv</v>
    <v>0</v>
    <v>NEXGEN ENERGY LTD. (XTSE:NXE)</v>
    <v>2</v>
    <v>3</v>
    <v>Finance</v>
    <v>4</v>
    <v>8.3000000000000007</v>
    <v>4.4400000000000004</v>
    <v>1.6275999999999999</v>
    <v>0.16</v>
    <v>0</v>
    <v>3.2258000000000002E-2</v>
    <v>0</v>
    <v>CAD</v>
    <v>NexGen Energy Ltd. is a Canada-based company, which is engaged in uranium exploration and development. The Company is focused on the acquisition, exploration and development of Canadian uranium projects. It owns a portfolio of prospective uranium exploration assets in the Athabasca Basin, Saskatchewan, Canada. The Company's project Rook I is development-stage uranium project in Canada, it is located in the uranium rich district of the southwestern area of the Athabasca Basin, located in the premier mining jurisdiction of Saskatchewan. The Rook I property hosts Arrow Deposit as well as the South Arrow discovery, the Harpoon discovery, the Bow discovery and the Cannon discovery.The Company's project is comprised of basement-hosted, Arrow Deposit which is identified as one of the global resource projects. The Rook I project hosts the South Arrow Discovery located 400-meter South of the Arrow Deposit. It also hosts the Harpoon Discovery located 4.7 kilometer northeast of the Arrow Deposit.</v>
    <v>43</v>
    <v>Toronto Stock Exchange</v>
    <v>XTSE</v>
    <v>XTSE</v>
    <v>Suite 3150, 1021 West Hastings Street, VANCOUVER, BC, V6E 0C3 CA</v>
    <v>5.24</v>
    <v>Uranium</v>
    <v>Stock</v>
    <v>44739.833333333336</v>
    <v>0</v>
    <v>5.0199999999999996</v>
    <v>2454348288</v>
    <v>NEXGEN ENERGY LTD.</v>
    <v>NEXGEN ENERGY LTD.</v>
    <v>5.0999999999999996</v>
    <v>39.68</v>
    <v>4.96</v>
    <v>5.12</v>
    <v>5.12</v>
    <v>479364900</v>
    <v>NXE</v>
    <v>NEXGEN ENERGY LTD. (XTSE:NXE)</v>
    <v>998729</v>
    <v>1623630</v>
    <v>2013</v>
  </rv>
  <rv s="2">
    <v>1</v>
  </rv>
  <rv s="0">
    <v>https://www.bing.com/financeapi/forcetrigger?t=auvwoc&amp;q=Gold&amp;form=skydnc</v>
    <v>Learn more on Bing</v>
  </rv>
  <rv s="3">
    <v>en-US</v>
    <v>auvwoc</v>
    <v>268435456</v>
    <v>1</v>
    <v>Powered by Refinitiv</v>
    <v>5</v>
    <v>Gold</v>
    <v>6</v>
    <v>7</v>
    <v>Finance</v>
    <v>Metal</v>
    <v>-1.4</v>
    <v>-7.672E-4</v>
    <v>US</v>
    <v>USD</v>
    <v>43830</v>
    <v>Future</v>
    <v>44739.943786990625</v>
    <v>3</v>
    <v>12</v>
    <v>Gold</v>
    <v>1823.4</v>
    <v>@GC0Y</v>
    <v>OZS</v>
    <v>Gold</v>
    <v>2019</v>
  </rv>
  <rv s="2">
    <v>4</v>
  </rv>
  <rv s="0">
    <v>https://www.bing.com/financeapi/forcetrigger?t=auvwr7&amp;q=Silver&amp;form=skydnc</v>
    <v>Learn more on Bing</v>
  </rv>
  <rv s="3">
    <v>en-US</v>
    <v>auvwr7</v>
    <v>268435456</v>
    <v>1</v>
    <v>Powered by Refinitiv</v>
    <v>5</v>
    <v>Silver</v>
    <v>6</v>
    <v>7</v>
    <v>Finance</v>
    <v>Metal</v>
    <v>-1.7999999999999999E-2</v>
    <v>-8.5029999999999991E-4</v>
    <v>US</v>
    <v>USD</v>
    <v>43830</v>
    <v>Future</v>
    <v>44739.94195734922</v>
    <v>6</v>
    <v>12</v>
    <v>Silver</v>
    <v>21.15</v>
    <v>@SI0Y</v>
    <v>OZS</v>
    <v>Silver</v>
    <v>2019</v>
  </rv>
  <rv s="2">
    <v>7</v>
  </rv>
  <rv s="0">
    <v>https://www.bing.com/financeapi/forcetrigger?t=auvwu2&amp;q=Platinum&amp;form=skydnc</v>
    <v>Learn more on Bing</v>
  </rv>
  <rv s="3">
    <v>en-US</v>
    <v>auvwu2</v>
    <v>268435456</v>
    <v>1</v>
    <v>Powered by Refinitiv</v>
    <v>5</v>
    <v>Platinum</v>
    <v>6</v>
    <v>7</v>
    <v>Finance</v>
    <v>Metal</v>
    <v>-1.4</v>
    <v>-1.549E-3</v>
    <v>US</v>
    <v>USD</v>
    <v>43861</v>
    <v>Future</v>
    <v>44739.942570786719</v>
    <v>9</v>
    <v>1</v>
    <v>Platinum</v>
    <v>902.7</v>
    <v>@PL0Y</v>
    <v>OZS</v>
    <v>Platinum</v>
    <v>2020</v>
  </rv>
  <rv s="2">
    <v>10</v>
  </rv>
  <rv s="0">
    <v>https://www.bing.com/financeapi/forcetrigger?t=bp3dp2&amp;q=XNAS%3aCTRM&amp;form=skydnc</v>
    <v>Learn more on Bing</v>
  </rv>
  <rv s="4">
    <v>en-US</v>
    <v>bp3dp2</v>
    <v>268435456</v>
    <v>1</v>
    <v>Powered by Refinitiv</v>
    <v>8</v>
    <v>Castor Maritime Inc. (XNAS:CTRM)</v>
    <v>2</v>
    <v>9</v>
    <v>Finance</v>
    <v>10</v>
    <v>2.88</v>
    <v>1</v>
    <v>0.33800000000000002</v>
    <v>0.02</v>
    <v>-6.5790000000000006E-3</v>
    <v>1.3332999999999999E-2</v>
    <v>-0.01</v>
    <v>USD</v>
    <v>Castor Maritime Inc. is a Cyprus-based company. The Company is engaged in the ocean transportation of dry bulk cargoes worldwide through the ownership and operation of bulk carrier vessels. It also aims to increase its fleet through acquisitions of new and modern vessels.</v>
    <v>Nasdaq Stock Market</v>
    <v>XNAS</v>
    <v>XNAS</v>
    <v>223 Christodoulou Chatzipavlou Street, Hawaii Royal Gardens, LIMASSOL, 3036 CY</v>
    <v>1.59</v>
    <v>Freight &amp; Logistics Services</v>
    <v>Stock</v>
    <v>44739.948237337499</v>
    <v>12</v>
    <v>1.48</v>
    <v>143807336</v>
    <v>Castor Maritime Inc.</v>
    <v>Castor Maritime Inc.</v>
    <v>1.53</v>
    <v>4.0067000000000004</v>
    <v>1.5</v>
    <v>1.52</v>
    <v>1.51</v>
    <v>94610090</v>
    <v>CTRM</v>
    <v>Castor Maritime Inc. (XNAS:CTRM)</v>
    <v>844821</v>
    <v>1137303</v>
    <v>2017</v>
  </rv>
  <rv s="2">
    <v>13</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Category" t="s"/>
    <k n="Change"/>
    <k n="Change (%)"/>
    <k n="Country/region" t="s"/>
    <k n="Currency" t="s"/>
    <k n="Expiration Date"/>
    <k n="Instrument type" t="s"/>
    <k n="Last trade time"/>
    <k n="LearnMoreOnLink" t="r"/>
    <k n="Month"/>
    <k n="Name" t="s"/>
    <k n="Price"/>
    <k n="Ticker symbol" t="s"/>
    <k n="Trade Unit" t="s"/>
    <k n="UniqueName" t="s"/>
    <k n="Yea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26">
      <v t="s">%EntityServiceId</v>
      <v t="s">_Format</v>
      <v t="s">%IsRefreshable</v>
      <v t="s">%EntityCulture</v>
      <v t="s">%EntityId</v>
      <v t="s">_Icon</v>
      <v t="s">_Display</v>
      <v t="s">Name</v>
      <v t="s">Price</v>
      <v t="s">Last trade time</v>
      <v t="s">Ticker symbol</v>
      <v t="s">Change</v>
      <v t="s">Change (%)</v>
      <v t="s">Currency</v>
      <v t="s">Category</v>
      <v t="s">Expiration Date</v>
      <v t="s">Trade Unit</v>
      <v t="s">Year</v>
      <v t="s">Month</v>
      <v t="s">Country/region</v>
      <v t="s">Instrument type</v>
      <v t="s">_Flags</v>
      <v t="s">UniqueName</v>
      <v t="s">_DisplayString</v>
      <v t="s">LearnMoreOnLink</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spbArrays>
  <spbData count="11">
    <spb s="0">
      <v>0</v>
      <v>Name</v>
      <v>LearnMoreOnLink</v>
    </spb>
    <spb s="1">
      <v>0</v>
      <v>0</v>
      <v>0</v>
    </spb>
    <spb s="2">
      <v>1</v>
      <v>1</v>
      <v>1</v>
      <v>1</v>
    </spb>
    <spb s="3">
      <v>1</v>
      <v>2</v>
      <v>2</v>
      <v>1</v>
      <v>3</v>
      <v>1</v>
      <v>1</v>
      <v>1</v>
      <v>4</v>
      <v>4</v>
      <v>5</v>
      <v>6</v>
      <v>1</v>
      <v>1</v>
      <v>1</v>
      <v>4</v>
      <v>7</v>
      <v>8</v>
      <v>9</v>
      <v>4</v>
      <v>1</v>
      <v>1</v>
      <v>5</v>
    </spb>
    <spb s="4">
      <v>at close</v>
      <v>from previous close</v>
      <v>from previous close</v>
      <v>GMT</v>
      <v>Delayed 20 minutes</v>
      <v>from close</v>
      <v>from close</v>
    </spb>
    <spb s="0">
      <v>1</v>
      <v>Name</v>
      <v>LearnMoreOnLink</v>
    </spb>
    <spb s="5">
      <v>1</v>
      <v>1</v>
      <v>1</v>
    </spb>
    <spb s="6">
      <v>3</v>
      <v>8</v>
      <v>8</v>
      <v>10</v>
      <v>10</v>
      <v>5</v>
      <v>11</v>
      <v>7</v>
      <v>9</v>
    </spb>
    <spb s="0">
      <v>2</v>
      <v>Name</v>
      <v>LearnMoreOnLink</v>
    </spb>
    <spb s="7">
      <v>10</v>
      <v>2</v>
      <v>2</v>
      <v>10</v>
      <v>3</v>
      <v>10</v>
      <v>10</v>
      <v>10</v>
      <v>4</v>
      <v>5</v>
      <v>12</v>
      <v>10</v>
      <v>10</v>
      <v>10</v>
      <v>4</v>
      <v>7</v>
      <v>8</v>
      <v>9</v>
      <v>4</v>
      <v>10</v>
      <v>10</v>
      <v>5</v>
    </spb>
    <spb s="8">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UniqueName" t="spb"/>
    <k n="`%ProviderInfo" t="spb"/>
    <k n="LearnMoreOnLink" t="spb"/>
  </s>
  <s>
    <k n="Name" t="i"/>
    <k n="Year" t="i"/>
    <k n="Month" t="i"/>
    <k n="Price" t="i"/>
    <k n="Change" t="i"/>
    <k n="Change (%)" t="i"/>
    <k n="Expiration Date" t="i"/>
    <k n="Last trade time" t="i"/>
    <k n="`%EntityServiceId" t="i"/>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ichProperties>
  <richStyles>
    <rSty dxfid="1">
      <rpv i="0">_-[$$-en-CA]* #,##0.00_-;-[$$-en-CA]* #,##0.00_-;_-[$$-en-CA]* "-"??_-;_-@_-</rpv>
    </rSty>
    <rSty dxfid="5">
      <rpv i="0">#,##0.00</rpv>
    </rSty>
    <rSty>
      <rpv i="1">1</rpv>
    </rSty>
    <rSty dxfid="4">
      <rpv i="0">#,##0</rpv>
    </rSty>
    <rSty dxfid="3"/>
    <rSty dxfid="1">
      <rpv i="0">_-[$$-en-CA]* #,##0_-;-[$$-en-CA]* #,##0_-;_-[$$-en-CA]* "-"_-;_-@_-</rpv>
    </rSty>
    <rSty dxfid="2"/>
    <rSty dxfid="6">
      <rpv i="0">0</rpv>
    </rSty>
    <rSty dxfid="0">
      <rpv i="0">0.00</rpv>
    </rSty>
    <rSty dxfid="1">
      <rpv i="0">_([$$-en-US]* #,##0.00_);_([$$-en-US]* (#,##0.00);_([$$-en-US]* "-"??_);_(@_)</rpv>
    </rSty>
    <rSty dxfid="7"/>
    <rSty dxfid="1">
      <rpv i="0">_([$$-en-US]* #,##0_);_([$$-en-US]* (#,##0);_([$$-en-US]*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8BFA5-BFBA-4D98-A32A-B9F15CAD2F89}">
  <dimension ref="A1:O38"/>
  <sheetViews>
    <sheetView tabSelected="1" workbookViewId="0">
      <selection activeCell="R10" sqref="R10"/>
    </sheetView>
  </sheetViews>
  <sheetFormatPr defaultRowHeight="15" x14ac:dyDescent="0.25"/>
  <cols>
    <col min="1" max="1" width="21.7109375" bestFit="1" customWidth="1"/>
    <col min="2" max="2" width="22.7109375" customWidth="1"/>
    <col min="3" max="3" width="10.140625" customWidth="1"/>
    <col min="6" max="6" width="11.42578125" customWidth="1"/>
    <col min="7" max="7" width="6.5703125" customWidth="1"/>
    <col min="8" max="8" width="14.7109375" customWidth="1"/>
    <col min="9" max="9" width="3.140625" customWidth="1"/>
    <col min="10" max="10" width="4.140625" customWidth="1"/>
    <col min="11" max="11" width="10.5703125" customWidth="1"/>
    <col min="12" max="12" width="13.85546875" customWidth="1"/>
    <col min="13" max="13" width="10.7109375" customWidth="1"/>
    <col min="14" max="14" width="11.7109375" customWidth="1"/>
    <col min="15" max="15" width="12.140625" customWidth="1"/>
  </cols>
  <sheetData>
    <row r="1" spans="1:15" ht="26.25" x14ac:dyDescent="0.4">
      <c r="A1" s="41" t="s">
        <v>36</v>
      </c>
    </row>
    <row r="2" spans="1:15" ht="15.75" thickBot="1" x14ac:dyDescent="0.3">
      <c r="L2" t="s">
        <v>37</v>
      </c>
    </row>
    <row r="3" spans="1:15" ht="21" x14ac:dyDescent="0.35">
      <c r="A3" t="s">
        <v>0</v>
      </c>
      <c r="B3" s="4" t="e" vm="1">
        <v>#VALUE!</v>
      </c>
      <c r="D3" s="13" t="e" vm="1">
        <f>stock</f>
        <v>#VALUE!</v>
      </c>
      <c r="E3" s="28"/>
      <c r="F3" s="28"/>
      <c r="G3" s="28"/>
      <c r="H3" s="14"/>
      <c r="L3" t="e" vm="2">
        <v>#VALUE!</v>
      </c>
      <c r="M3" t="str" cm="1">
        <f t="array" ref="M3">_FV(L3,"Ticker symbol",TRUE)</f>
        <v>@GC0Y</v>
      </c>
      <c r="N3" s="1" cm="1">
        <f t="array" ref="N3">_FV(L3,"Price")</f>
        <v>1823.4</v>
      </c>
      <c r="O3" s="26"/>
    </row>
    <row r="4" spans="1:15" ht="15.75" x14ac:dyDescent="0.25">
      <c r="A4" t="s">
        <v>6</v>
      </c>
      <c r="B4" s="4">
        <v>2027</v>
      </c>
      <c r="D4" s="15"/>
      <c r="E4" s="31"/>
      <c r="F4" s="31"/>
      <c r="G4" s="31"/>
      <c r="H4" s="16">
        <f>B31/shares</f>
        <v>14.69627253164504</v>
      </c>
      <c r="L4" t="e" vm="3">
        <v>#VALUE!</v>
      </c>
      <c r="M4" t="str" cm="1">
        <f t="array" ref="M4">_FV(L4,"Ticker symbol",TRUE)</f>
        <v>@SI0Y</v>
      </c>
      <c r="N4" s="1" cm="1">
        <f t="array" ref="N4">_FV(L4,"Price")</f>
        <v>21.15</v>
      </c>
    </row>
    <row r="5" spans="1:15" ht="15.75" x14ac:dyDescent="0.25">
      <c r="A5" t="s">
        <v>10</v>
      </c>
      <c r="B5" s="7">
        <v>0.05</v>
      </c>
      <c r="D5" s="15"/>
      <c r="E5" s="31"/>
      <c r="F5" s="31"/>
      <c r="G5" s="31"/>
      <c r="H5" s="16">
        <f>price</f>
        <v>5.12</v>
      </c>
      <c r="L5" t="e" vm="4">
        <v>#VALUE!</v>
      </c>
      <c r="M5" t="str" cm="1">
        <f t="array" ref="M5">_FV(L5,"Ticker symbol",TRUE)</f>
        <v>@PL0Y</v>
      </c>
      <c r="N5" s="1" cm="1">
        <f t="array" ref="N5">_FV(L5,"Price")</f>
        <v>902.7</v>
      </c>
      <c r="O5" s="26"/>
    </row>
    <row r="6" spans="1:15" ht="15.75" thickBot="1" x14ac:dyDescent="0.3">
      <c r="A6" t="s">
        <v>16</v>
      </c>
      <c r="B6" s="9">
        <f>1/(1+DiscountRate)</f>
        <v>0.95238095238095233</v>
      </c>
      <c r="D6" s="15"/>
      <c r="E6" s="31"/>
      <c r="F6" s="31"/>
      <c r="G6" s="31"/>
      <c r="H6" s="17"/>
      <c r="O6" s="27"/>
    </row>
    <row r="7" spans="1:15" ht="21" x14ac:dyDescent="0.35">
      <c r="A7" t="s">
        <v>11</v>
      </c>
      <c r="B7" s="8">
        <v>10</v>
      </c>
      <c r="D7" s="15" t="s">
        <v>26</v>
      </c>
      <c r="E7" s="31"/>
      <c r="F7" s="31"/>
      <c r="G7" s="31"/>
      <c r="H7" s="18">
        <f>H4-H5</f>
        <v>9.5762725316450386</v>
      </c>
      <c r="L7" s="35" t="str" cm="1">
        <f t="array" ref="L7">_FV(stock,"Official name",TRUE)</f>
        <v>NEXGEN ENERGY LTD.</v>
      </c>
      <c r="M7" s="28"/>
      <c r="N7" s="28"/>
      <c r="O7" s="70"/>
    </row>
    <row r="8" spans="1:15" ht="21.75" thickBot="1" x14ac:dyDescent="0.4">
      <c r="A8" t="s">
        <v>1</v>
      </c>
      <c r="B8" s="1" cm="1">
        <f t="array" ref="B8">_FV(B3,"Price")</f>
        <v>5.12</v>
      </c>
      <c r="D8" s="19" t="s">
        <v>26</v>
      </c>
      <c r="E8" s="32"/>
      <c r="F8" s="32"/>
      <c r="G8" s="32"/>
      <c r="H8" s="20">
        <f>H7/H5</f>
        <v>1.8703657288369215</v>
      </c>
      <c r="K8">
        <v>1</v>
      </c>
      <c r="L8" s="75" t="s">
        <v>65</v>
      </c>
      <c r="M8" s="31"/>
      <c r="N8" s="31"/>
      <c r="O8" s="17"/>
    </row>
    <row r="9" spans="1:15" ht="15.75" thickBot="1" x14ac:dyDescent="0.3">
      <c r="A9" t="s">
        <v>2</v>
      </c>
      <c r="B9" s="2" cm="1">
        <f t="array" ref="B9">_FV(B3,"Shares outstanding",TRUE)/1000000</f>
        <v>479.36489999999998</v>
      </c>
      <c r="L9" s="69">
        <f>H4*K8</f>
        <v>14.69627253164504</v>
      </c>
      <c r="M9" s="28">
        <v>0.7</v>
      </c>
      <c r="N9" s="28">
        <v>0.8</v>
      </c>
      <c r="O9" s="70">
        <v>0.9</v>
      </c>
    </row>
    <row r="10" spans="1:15" x14ac:dyDescent="0.25">
      <c r="A10" t="s">
        <v>3</v>
      </c>
      <c r="B10" s="3" cm="1">
        <f t="array" ref="B10">_FV(B3,"Market cap",TRUE)/1000000</f>
        <v>2454.3482880000001</v>
      </c>
      <c r="D10" s="35" t="s">
        <v>32</v>
      </c>
      <c r="E10" s="28"/>
      <c r="F10" s="28"/>
      <c r="G10" s="28"/>
      <c r="H10" s="14"/>
      <c r="L10" s="15">
        <v>40</v>
      </c>
      <c r="M10" s="71">
        <f t="dataTable" ref="M10:O26" dt2D="1" dtr="1" r1="K8" r2="C21"/>
        <v>5.4632919340968833</v>
      </c>
      <c r="N10" s="71">
        <v>6.2437622103964392</v>
      </c>
      <c r="O10" s="72">
        <v>7.0242324866959933</v>
      </c>
    </row>
    <row r="11" spans="1:15" x14ac:dyDescent="0.25">
      <c r="A11" t="s">
        <v>17</v>
      </c>
      <c r="B11" s="10">
        <v>1770</v>
      </c>
      <c r="D11" s="36" t="s">
        <v>30</v>
      </c>
      <c r="E11" s="29">
        <f>H4</f>
        <v>14.69627253164504</v>
      </c>
      <c r="F11" s="34" t="s">
        <v>33</v>
      </c>
      <c r="G11" s="34" t="s">
        <v>34</v>
      </c>
      <c r="H11" s="42" t="s">
        <v>31</v>
      </c>
      <c r="L11" s="15">
        <v>50</v>
      </c>
      <c r="M11" s="71">
        <v>7.8753413531242042</v>
      </c>
      <c r="N11" s="71">
        <v>9.0003901178562344</v>
      </c>
      <c r="O11" s="72">
        <v>10.125438882588265</v>
      </c>
    </row>
    <row r="12" spans="1:15" x14ac:dyDescent="0.25">
      <c r="A12" t="s">
        <v>20</v>
      </c>
      <c r="B12" s="11">
        <v>2180</v>
      </c>
      <c r="D12" s="15">
        <v>50</v>
      </c>
      <c r="E12" s="29">
        <f t="dataTable" ref="E12:E17" dt2D="0" dtr="0" r1="C21" ca="1"/>
        <v>11.250487647320293</v>
      </c>
      <c r="F12" s="30">
        <f t="shared" ref="F12:F17" si="0">D12/D$12-1</f>
        <v>0</v>
      </c>
      <c r="G12" s="30">
        <f>E12/E$12-1</f>
        <v>0</v>
      </c>
      <c r="H12" s="37" t="e">
        <f>G12/F12</f>
        <v>#DIV/0!</v>
      </c>
      <c r="L12" s="15">
        <v>60</v>
      </c>
      <c r="M12" s="71">
        <v>10.287390772151527</v>
      </c>
      <c r="N12" s="71">
        <v>11.757018025316032</v>
      </c>
      <c r="O12" s="72">
        <v>13.226645278480536</v>
      </c>
    </row>
    <row r="13" spans="1:15" x14ac:dyDescent="0.25">
      <c r="A13" t="s">
        <v>18</v>
      </c>
      <c r="B13" s="11">
        <v>1570</v>
      </c>
      <c r="D13" s="15">
        <v>60</v>
      </c>
      <c r="E13" s="29">
        <v>14.69627253164504</v>
      </c>
      <c r="F13" s="30">
        <f>D13/D$12-1</f>
        <v>0.19999999999999996</v>
      </c>
      <c r="G13" s="30">
        <f t="shared" ref="G13:G15" si="1">E13/E$12-1</f>
        <v>0.30627871362940295</v>
      </c>
      <c r="H13" s="37">
        <f t="shared" ref="H13:H17" si="2">G13/F13</f>
        <v>1.5313935681470152</v>
      </c>
      <c r="L13" s="15">
        <v>70</v>
      </c>
      <c r="M13" s="71">
        <v>12.699440191178846</v>
      </c>
      <c r="N13" s="71">
        <v>14.513645932775825</v>
      </c>
      <c r="O13" s="72">
        <v>16.327851674372802</v>
      </c>
    </row>
    <row r="14" spans="1:15" x14ac:dyDescent="0.25">
      <c r="A14" t="s">
        <v>19</v>
      </c>
      <c r="B14" s="11">
        <v>4400</v>
      </c>
      <c r="D14" s="15">
        <v>75</v>
      </c>
      <c r="E14" s="29">
        <v>19.864949858132157</v>
      </c>
      <c r="F14" s="30">
        <f>D14/D$12-1</f>
        <v>0.5</v>
      </c>
      <c r="G14" s="30">
        <f t="shared" si="1"/>
        <v>0.76569678407350694</v>
      </c>
      <c r="H14" s="37">
        <f t="shared" si="2"/>
        <v>1.5313935681470139</v>
      </c>
      <c r="L14" s="15">
        <v>80</v>
      </c>
      <c r="M14" s="71">
        <v>15.111489610206169</v>
      </c>
      <c r="N14" s="71">
        <v>17.270273840235625</v>
      </c>
      <c r="O14" s="72">
        <v>19.429058070265075</v>
      </c>
    </row>
    <row r="15" spans="1:15" x14ac:dyDescent="0.25">
      <c r="A15" t="s">
        <v>25</v>
      </c>
      <c r="B15" s="12" t="s">
        <v>23</v>
      </c>
      <c r="D15" s="15">
        <v>100</v>
      </c>
      <c r="E15" s="29">
        <v>28.479412068944022</v>
      </c>
      <c r="F15" s="30">
        <f t="shared" si="0"/>
        <v>1</v>
      </c>
      <c r="G15" s="30">
        <f t="shared" si="1"/>
        <v>1.5313935681470139</v>
      </c>
      <c r="H15" s="37">
        <f t="shared" si="2"/>
        <v>1.5313935681470139</v>
      </c>
      <c r="K15" s="68" t="s">
        <v>64</v>
      </c>
      <c r="L15" s="15">
        <v>90</v>
      </c>
      <c r="M15" s="71">
        <v>17.52353902923349</v>
      </c>
      <c r="N15" s="71">
        <v>20.026901747695419</v>
      </c>
      <c r="O15" s="72">
        <v>22.530264466157348</v>
      </c>
    </row>
    <row r="16" spans="1:15" x14ac:dyDescent="0.25">
      <c r="A16" t="s">
        <v>29</v>
      </c>
      <c r="B16" s="33">
        <f>EV/asset</f>
        <v>0.47199999999999998</v>
      </c>
      <c r="D16" s="15">
        <v>120</v>
      </c>
      <c r="E16" s="29">
        <v>35.370981837593504</v>
      </c>
      <c r="F16" s="30">
        <f>D16/D$12-1</f>
        <v>1.4</v>
      </c>
      <c r="G16" s="30">
        <f>E16/E$12-1</f>
        <v>2.1439509954058189</v>
      </c>
      <c r="H16" s="37">
        <f t="shared" si="2"/>
        <v>1.5313935681470137</v>
      </c>
      <c r="K16" s="68" t="s">
        <v>59</v>
      </c>
      <c r="L16" s="15">
        <v>100</v>
      </c>
      <c r="M16" s="71">
        <v>19.935588448260813</v>
      </c>
      <c r="N16" s="71">
        <v>22.78352965515522</v>
      </c>
      <c r="O16" s="72">
        <v>25.631470862049621</v>
      </c>
    </row>
    <row r="17" spans="1:15" ht="15.75" thickBot="1" x14ac:dyDescent="0.3">
      <c r="A17" t="s">
        <v>4</v>
      </c>
      <c r="B17" s="6" t="str" cm="1">
        <f t="array" ref="B17">_FV(B3,"Industry")</f>
        <v>Uranium</v>
      </c>
      <c r="D17" s="19">
        <v>150</v>
      </c>
      <c r="E17" s="38">
        <v>45.708336490567753</v>
      </c>
      <c r="F17" s="39">
        <f t="shared" si="0"/>
        <v>2</v>
      </c>
      <c r="G17" s="39">
        <f>E17/E$12-1</f>
        <v>3.0627871362940287</v>
      </c>
      <c r="H17" s="40">
        <f t="shared" si="2"/>
        <v>1.5313935681470143</v>
      </c>
      <c r="L17" s="15">
        <v>110</v>
      </c>
      <c r="M17" s="71">
        <v>22.347637867288132</v>
      </c>
      <c r="N17" s="71">
        <v>25.540157562615008</v>
      </c>
      <c r="O17" s="72">
        <v>28.732677257941884</v>
      </c>
    </row>
    <row r="18" spans="1:15" x14ac:dyDescent="0.25">
      <c r="B18" s="5"/>
      <c r="L18" s="15">
        <v>120</v>
      </c>
      <c r="M18" s="71">
        <v>24.759687286315451</v>
      </c>
      <c r="N18" s="71">
        <v>28.296785470074806</v>
      </c>
      <c r="O18" s="72">
        <v>31.833883653834153</v>
      </c>
    </row>
    <row r="19" spans="1:15" x14ac:dyDescent="0.25">
      <c r="A19" t="s">
        <v>5</v>
      </c>
      <c r="C19">
        <f>year</f>
        <v>2027</v>
      </c>
      <c r="D19">
        <f>C19+1</f>
        <v>2028</v>
      </c>
      <c r="E19">
        <f t="shared" ref="E19:G19" si="3">D19+1</f>
        <v>2029</v>
      </c>
      <c r="F19">
        <f t="shared" si="3"/>
        <v>2030</v>
      </c>
      <c r="G19">
        <f t="shared" si="3"/>
        <v>2031</v>
      </c>
      <c r="H19" s="6" t="s">
        <v>7</v>
      </c>
      <c r="L19" s="15">
        <v>130</v>
      </c>
      <c r="M19" s="71">
        <v>27.171736705342784</v>
      </c>
      <c r="N19" s="71">
        <v>31.053413377534611</v>
      </c>
      <c r="O19" s="72">
        <v>34.93509004972644</v>
      </c>
    </row>
    <row r="20" spans="1:15" x14ac:dyDescent="0.25">
      <c r="B20" s="6" t="s">
        <v>15</v>
      </c>
      <c r="C20" s="4">
        <v>13063</v>
      </c>
      <c r="D20">
        <f>IF(ISBLANK(D24),$C$20,D24)</f>
        <v>13063</v>
      </c>
      <c r="E20">
        <f>IF(ISBLANK(E24),$D20,E24)</f>
        <v>13063</v>
      </c>
      <c r="F20">
        <f t="shared" ref="F20:G20" si="4">IF(ISBLANK(F24),$D20,F24)</f>
        <v>13063</v>
      </c>
      <c r="G20">
        <f t="shared" si="4"/>
        <v>13063</v>
      </c>
      <c r="H20">
        <f>IF(ISBLANK(H24),G20*Terminal,H24)</f>
        <v>130630</v>
      </c>
      <c r="L20" s="15">
        <v>140</v>
      </c>
      <c r="M20" s="71">
        <v>29.583786124370103</v>
      </c>
      <c r="N20" s="71">
        <v>33.810041284994405</v>
      </c>
      <c r="O20" s="72">
        <v>38.03629644561871</v>
      </c>
    </row>
    <row r="21" spans="1:15" x14ac:dyDescent="0.25">
      <c r="B21" s="6" t="s">
        <v>9</v>
      </c>
      <c r="C21" s="4">
        <v>60</v>
      </c>
      <c r="D21">
        <f>IF(ISBLANK(D25),$C21,D25)</f>
        <v>60</v>
      </c>
      <c r="E21">
        <f>IF(ISBLANK(E25),$D21,E25)</f>
        <v>60</v>
      </c>
      <c r="F21">
        <f t="shared" ref="F21:G21" si="5">IF(ISBLANK(F25),$D21,F25)</f>
        <v>60</v>
      </c>
      <c r="G21">
        <f t="shared" si="5"/>
        <v>60</v>
      </c>
      <c r="H21">
        <f>IF(ISBLANK(H25),G21,H25)</f>
        <v>60</v>
      </c>
      <c r="L21" s="15">
        <v>150</v>
      </c>
      <c r="M21" s="71">
        <v>31.995835543397426</v>
      </c>
      <c r="N21" s="71">
        <v>36.566669192454206</v>
      </c>
      <c r="O21" s="72">
        <v>41.13750284151098</v>
      </c>
    </row>
    <row r="22" spans="1:15" x14ac:dyDescent="0.25">
      <c r="B22" s="6" t="s">
        <v>8</v>
      </c>
      <c r="C22" s="4">
        <v>17.350000000000001</v>
      </c>
      <c r="D22">
        <f>IF(ISBLANK(D26),$C22,D26)</f>
        <v>17.350000000000001</v>
      </c>
      <c r="E22">
        <f>IF(ISBLANK(E26),$D22,E26)</f>
        <v>17.350000000000001</v>
      </c>
      <c r="F22">
        <f t="shared" ref="F22:G22" si="6">IF(ISBLANK(F26),$D22,F26)</f>
        <v>17.350000000000001</v>
      </c>
      <c r="G22">
        <f t="shared" si="6"/>
        <v>17.350000000000001</v>
      </c>
      <c r="H22">
        <f>IF(ISBLANK(H26),G22,H26)</f>
        <v>17.350000000000001</v>
      </c>
      <c r="L22" s="15">
        <v>160</v>
      </c>
      <c r="M22" s="71">
        <v>34.407884962424745</v>
      </c>
      <c r="N22" s="71">
        <v>39.323297099914001</v>
      </c>
      <c r="O22" s="72">
        <v>44.238709237403249</v>
      </c>
    </row>
    <row r="23" spans="1:15" ht="15.75" thickBot="1" x14ac:dyDescent="0.3">
      <c r="L23" s="15">
        <v>170</v>
      </c>
      <c r="M23" s="71">
        <v>36.819934381452065</v>
      </c>
      <c r="N23" s="71">
        <v>42.079925007373788</v>
      </c>
      <c r="O23" s="72">
        <v>47.339915633295512</v>
      </c>
    </row>
    <row r="24" spans="1:15" ht="15.75" thickBot="1" x14ac:dyDescent="0.3">
      <c r="B24" s="6" t="s">
        <v>12</v>
      </c>
      <c r="D24" s="4"/>
      <c r="E24" s="4"/>
      <c r="F24" s="4"/>
      <c r="G24" s="22"/>
      <c r="H24" s="24"/>
      <c r="I24" t="s">
        <v>27</v>
      </c>
      <c r="L24" s="15">
        <v>180</v>
      </c>
      <c r="M24" s="71">
        <v>39.231983800479391</v>
      </c>
      <c r="N24" s="71">
        <v>44.83655291483359</v>
      </c>
      <c r="O24" s="72">
        <v>50.441122029187788</v>
      </c>
    </row>
    <row r="25" spans="1:15" x14ac:dyDescent="0.25">
      <c r="B25" s="6" t="s">
        <v>13</v>
      </c>
      <c r="D25" s="4"/>
      <c r="E25" s="4"/>
      <c r="F25" s="4"/>
      <c r="G25" s="4"/>
      <c r="H25" s="23"/>
      <c r="L25" s="15">
        <v>190</v>
      </c>
      <c r="M25" s="71">
        <v>41.644033219506703</v>
      </c>
      <c r="N25" s="71">
        <v>47.593180822293384</v>
      </c>
      <c r="O25" s="72">
        <v>53.542328425080051</v>
      </c>
    </row>
    <row r="26" spans="1:15" ht="15.75" thickBot="1" x14ac:dyDescent="0.3">
      <c r="B26" s="6" t="s">
        <v>14</v>
      </c>
      <c r="D26" s="4"/>
      <c r="E26" s="4"/>
      <c r="F26" s="4"/>
      <c r="G26" s="4"/>
      <c r="H26" s="4"/>
      <c r="L26" s="19">
        <v>200</v>
      </c>
      <c r="M26" s="73">
        <v>44.056082638534036</v>
      </c>
      <c r="N26" s="73">
        <v>50.349808729753192</v>
      </c>
      <c r="O26" s="74">
        <v>56.643534820972334</v>
      </c>
    </row>
    <row r="28" spans="1:15" x14ac:dyDescent="0.25">
      <c r="C28">
        <f>(C21-C22)*C20</f>
        <v>557136.94999999995</v>
      </c>
      <c r="D28">
        <f t="shared" ref="D28:H28" si="7">(D21-D22)*D20</f>
        <v>557136.94999999995</v>
      </c>
      <c r="E28">
        <f t="shared" si="7"/>
        <v>557136.94999999995</v>
      </c>
      <c r="F28">
        <f t="shared" si="7"/>
        <v>557136.94999999995</v>
      </c>
      <c r="G28">
        <f t="shared" si="7"/>
        <v>557136.94999999995</v>
      </c>
      <c r="H28">
        <f t="shared" si="7"/>
        <v>5571369.5</v>
      </c>
    </row>
    <row r="29" spans="1:15" x14ac:dyDescent="0.25">
      <c r="C29">
        <v>1</v>
      </c>
      <c r="D29" s="9">
        <f>DiscFactor^(D19-C19)</f>
        <v>0.95238095238095233</v>
      </c>
      <c r="E29" s="9">
        <f>DiscFactor^(E19-D19)</f>
        <v>0.95238095238095233</v>
      </c>
      <c r="F29" s="9">
        <f>DiscFactor^(F19-E19)</f>
        <v>0.95238095238095233</v>
      </c>
      <c r="G29" s="9">
        <f>DiscFactor^(G19-F19)</f>
        <v>0.95238095238095233</v>
      </c>
      <c r="H29" s="9">
        <f>DiscFactor^(5)</f>
        <v>0.78352616646845885</v>
      </c>
    </row>
    <row r="30" spans="1:15" x14ac:dyDescent="0.25">
      <c r="A30" t="s">
        <v>35</v>
      </c>
    </row>
    <row r="31" spans="1:15" x14ac:dyDescent="0.25">
      <c r="A31" s="4">
        <v>1000</v>
      </c>
      <c r="B31">
        <f>SUM(C31:H31)</f>
        <v>7044.8772125047708</v>
      </c>
      <c r="C31">
        <f>+C28*C29/place</f>
        <v>557.13694999999996</v>
      </c>
      <c r="D31">
        <f t="shared" ref="C31:H31" si="8">+D28*D29/place</f>
        <v>530.60661904761889</v>
      </c>
      <c r="E31">
        <f t="shared" si="8"/>
        <v>530.60661904761889</v>
      </c>
      <c r="F31">
        <f t="shared" si="8"/>
        <v>530.60661904761889</v>
      </c>
      <c r="G31">
        <f t="shared" si="8"/>
        <v>530.60661904761889</v>
      </c>
      <c r="H31">
        <f t="shared" si="8"/>
        <v>4365.3137863142947</v>
      </c>
    </row>
    <row r="32" spans="1:15" ht="15.75" thickBot="1" x14ac:dyDescent="0.3"/>
    <row r="33" spans="1:9" ht="15.75" thickBot="1" x14ac:dyDescent="0.3">
      <c r="A33" s="6" t="s">
        <v>21</v>
      </c>
      <c r="B33">
        <f>IF(LEFT($B$15,1)="1",B12,IF(LEFT($B$15,1)="2",B12+B13,SUM(B12:B14)))</f>
        <v>3750</v>
      </c>
      <c r="C33">
        <f>B33-C20/1000</f>
        <v>3736.9369999999999</v>
      </c>
      <c r="D33">
        <f t="shared" ref="D33:G33" si="9">C33-D20/1000</f>
        <v>3723.8739999999998</v>
      </c>
      <c r="E33">
        <f t="shared" si="9"/>
        <v>3710.8109999999997</v>
      </c>
      <c r="F33">
        <f t="shared" si="9"/>
        <v>3697.7479999999996</v>
      </c>
      <c r="G33">
        <f t="shared" si="9"/>
        <v>3684.6849999999995</v>
      </c>
      <c r="H33" s="21">
        <f>G33-H20/1000</f>
        <v>3554.0549999999994</v>
      </c>
      <c r="I33" t="s">
        <v>28</v>
      </c>
    </row>
    <row r="38" spans="1:9" ht="8.25" customHeight="1" x14ac:dyDescent="0.25"/>
  </sheetData>
  <conditionalFormatting sqref="H8">
    <cfRule type="colorScale" priority="1">
      <colorScale>
        <cfvo type="num" val="-0.5"/>
        <cfvo type="num" val="0"/>
        <cfvo type="num" val="0.5"/>
        <color rgb="FFF8696B"/>
        <color rgb="FFFFEB84"/>
        <color rgb="FF63BE7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009C34B-A6C8-4562-A8C7-3A33A5A2CD08}">
          <x14:formula1>
            <xm:f>tables!$A$1:$A$3</xm:f>
          </x14:formula1>
          <xm:sqref>B15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F7D3D-3A5F-4AEE-A968-CD8D5E521082}">
  <dimension ref="A1:V38"/>
  <sheetViews>
    <sheetView workbookViewId="0">
      <selection activeCell="E3" sqref="E3"/>
    </sheetView>
  </sheetViews>
  <sheetFormatPr defaultRowHeight="15" x14ac:dyDescent="0.25"/>
  <cols>
    <col min="1" max="1" width="34.140625" customWidth="1"/>
    <col min="2" max="2" width="32.85546875" customWidth="1"/>
    <col min="3" max="3" width="14.28515625" customWidth="1"/>
    <col min="4" max="4" width="9.7109375" customWidth="1"/>
    <col min="5" max="5" width="19" bestFit="1" customWidth="1"/>
    <col min="6" max="6" width="25.28515625" bestFit="1" customWidth="1"/>
    <col min="7" max="7" width="11.7109375" customWidth="1"/>
    <col min="8" max="8" width="11.140625" customWidth="1"/>
    <col min="11" max="11" width="10.42578125" customWidth="1"/>
    <col min="12" max="12" width="11.5703125" bestFit="1" customWidth="1"/>
    <col min="13" max="13" width="12" customWidth="1"/>
    <col min="14" max="14" width="12.28515625" bestFit="1" customWidth="1"/>
    <col min="15" max="15" width="11.28515625" customWidth="1"/>
    <col min="16" max="16" width="11" customWidth="1"/>
    <col min="17" max="17" width="10.42578125" customWidth="1"/>
    <col min="18" max="18" width="10.28515625" customWidth="1"/>
    <col min="19" max="19" width="10.42578125" customWidth="1"/>
  </cols>
  <sheetData>
    <row r="1" spans="1:22" ht="28.5" x14ac:dyDescent="0.45">
      <c r="A1" s="61" t="str" cm="1">
        <f t="array" ref="A1">_FV(B3,"Official name",TRUE)</f>
        <v>Castor Maritime Inc.</v>
      </c>
    </row>
    <row r="2" spans="1:22" x14ac:dyDescent="0.25">
      <c r="A2" t="s">
        <v>38</v>
      </c>
      <c r="G2" t="s">
        <v>60</v>
      </c>
      <c r="H2" t="s">
        <v>49</v>
      </c>
    </row>
    <row r="3" spans="1:22" ht="18.75" x14ac:dyDescent="0.3">
      <c r="A3" t="s">
        <v>40</v>
      </c>
      <c r="B3" s="4" t="e" vm="5">
        <v>#VALUE!</v>
      </c>
      <c r="K3" t="s">
        <v>63</v>
      </c>
      <c r="O3" s="60" t="s">
        <v>58</v>
      </c>
    </row>
    <row r="4" spans="1:22" x14ac:dyDescent="0.25">
      <c r="A4" t="s">
        <v>1</v>
      </c>
      <c r="B4" s="1" cm="1">
        <f t="array" ref="B4">_FV(B3,"Price")</f>
        <v>1.52</v>
      </c>
      <c r="G4" s="6" t="s">
        <v>50</v>
      </c>
      <c r="H4" s="4">
        <v>25</v>
      </c>
      <c r="L4" s="49">
        <f>B25</f>
        <v>5.1085342663657807</v>
      </c>
      <c r="M4" s="57">
        <v>0.5</v>
      </c>
      <c r="N4" s="57">
        <v>0.6</v>
      </c>
      <c r="O4" s="57">
        <v>0.7</v>
      </c>
      <c r="P4" s="57">
        <v>0.8</v>
      </c>
      <c r="Q4" s="57">
        <v>0.9</v>
      </c>
      <c r="R4" s="57">
        <v>0.95</v>
      </c>
      <c r="S4" s="57">
        <v>0.99</v>
      </c>
    </row>
    <row r="5" spans="1:22" x14ac:dyDescent="0.25">
      <c r="A5" t="s">
        <v>42</v>
      </c>
      <c r="B5" s="2" cm="1">
        <f t="array" ref="B5">_FV(B3,"Shares outstanding",TRUE)</f>
        <v>94610090</v>
      </c>
      <c r="G5" s="6" t="s">
        <v>51</v>
      </c>
      <c r="H5">
        <f>num_vessels</f>
        <v>29</v>
      </c>
      <c r="K5" s="67">
        <f t="shared" ref="K5:K36" si="0">L5/BDI_TCE</f>
        <v>600</v>
      </c>
      <c r="L5" s="63">
        <v>5000</v>
      </c>
      <c r="M5" s="49">
        <f t="dataTable" ref="M5:S36" dt2D="1" dtr="1" r1="B11" r2="B14"/>
        <v>-1.4512881438539151</v>
      </c>
      <c r="N5" s="49">
        <v>-1.7415457726246983</v>
      </c>
      <c r="O5" s="49">
        <v>-2.0318034013954813</v>
      </c>
      <c r="P5" s="49">
        <v>-2.3220610301662643</v>
      </c>
      <c r="Q5" s="49">
        <v>-2.6123186589370473</v>
      </c>
      <c r="R5" s="49">
        <v>-2.757447473322439</v>
      </c>
      <c r="S5" s="49">
        <v>-2.873550524830752</v>
      </c>
    </row>
    <row r="6" spans="1:22" x14ac:dyDescent="0.25">
      <c r="A6" t="s">
        <v>41</v>
      </c>
      <c r="B6" s="43" cm="1">
        <f t="array" ref="B6">_FV(B3,"Market cap",TRUE)</f>
        <v>143807336</v>
      </c>
      <c r="C6" s="1"/>
      <c r="G6" s="6" t="s">
        <v>52</v>
      </c>
      <c r="H6" s="9">
        <f>H4/H5</f>
        <v>0.86206896551724133</v>
      </c>
      <c r="K6" s="67">
        <f t="shared" si="0"/>
        <v>720</v>
      </c>
      <c r="L6" s="63">
        <v>6000</v>
      </c>
      <c r="M6" s="62">
        <v>-1.1287796674419341</v>
      </c>
      <c r="N6" s="49">
        <v>-1.3545356009303209</v>
      </c>
      <c r="O6" s="49">
        <v>-1.5802915344187074</v>
      </c>
      <c r="P6" s="49">
        <v>-1.8060474679070946</v>
      </c>
      <c r="Q6" s="49">
        <v>-2.0318034013954813</v>
      </c>
      <c r="R6" s="49">
        <v>-2.1446813681396746</v>
      </c>
      <c r="S6" s="49">
        <v>-2.2349837415350295</v>
      </c>
    </row>
    <row r="7" spans="1:22" x14ac:dyDescent="0.25">
      <c r="A7" t="s">
        <v>43</v>
      </c>
      <c r="B7">
        <v>2022</v>
      </c>
      <c r="G7" s="45" t="s">
        <v>47</v>
      </c>
      <c r="H7" s="4">
        <v>91</v>
      </c>
      <c r="K7" s="67">
        <f t="shared" si="0"/>
        <v>839.99999999999989</v>
      </c>
      <c r="L7" s="63">
        <v>7000</v>
      </c>
      <c r="M7" s="62">
        <v>-0.80627119102995282</v>
      </c>
      <c r="N7" s="49">
        <v>-0.96752542923594353</v>
      </c>
      <c r="O7" s="49">
        <v>-1.1287796674419339</v>
      </c>
      <c r="P7" s="49">
        <v>-1.2900339056479246</v>
      </c>
      <c r="Q7" s="49">
        <v>-1.4512881438539151</v>
      </c>
      <c r="R7" s="49">
        <v>-1.5319152629569106</v>
      </c>
      <c r="S7" s="49">
        <v>-1.5964169582393068</v>
      </c>
    </row>
    <row r="8" spans="1:22" ht="18.75" x14ac:dyDescent="0.3">
      <c r="A8" t="s">
        <v>10</v>
      </c>
      <c r="B8" s="7">
        <v>0.05</v>
      </c>
      <c r="G8" s="45" t="s">
        <v>53</v>
      </c>
      <c r="H8" s="47">
        <f>H6/H7*1000000</f>
        <v>9473.2853353542996</v>
      </c>
      <c r="J8" s="65" t="s">
        <v>57</v>
      </c>
      <c r="K8" s="67">
        <f t="shared" si="0"/>
        <v>959.99999999999989</v>
      </c>
      <c r="L8" s="63">
        <v>8000</v>
      </c>
      <c r="M8" s="62">
        <v>-0.48376271461797177</v>
      </c>
      <c r="N8" s="49">
        <v>-0.58051525754156608</v>
      </c>
      <c r="O8" s="49">
        <v>-0.67726780046516033</v>
      </c>
      <c r="P8" s="49">
        <v>-0.77402034338875503</v>
      </c>
      <c r="Q8" s="49">
        <v>-0.87077288631234917</v>
      </c>
      <c r="R8" s="49">
        <v>-0.9191491577741463</v>
      </c>
      <c r="S8" s="49">
        <v>-0.95785017494358415</v>
      </c>
      <c r="T8" s="64"/>
    </row>
    <row r="9" spans="1:22" x14ac:dyDescent="0.25">
      <c r="A9" t="s">
        <v>16</v>
      </c>
      <c r="B9" s="25">
        <f>1/(1+ship_disc)</f>
        <v>0.95238095238095233</v>
      </c>
      <c r="J9" s="66" t="s">
        <v>59</v>
      </c>
      <c r="K9" s="67">
        <f t="shared" si="0"/>
        <v>1080</v>
      </c>
      <c r="L9" s="63">
        <v>9000</v>
      </c>
      <c r="M9" s="62">
        <v>-0.16125423820599058</v>
      </c>
      <c r="N9" s="49">
        <v>-0.1935050858471887</v>
      </c>
      <c r="O9" s="49">
        <v>-0.2257559334883868</v>
      </c>
      <c r="P9" s="49">
        <v>-0.25800678112958497</v>
      </c>
      <c r="Q9" s="49">
        <v>-0.29025762877078304</v>
      </c>
      <c r="R9" s="49">
        <v>-0.3063830525913821</v>
      </c>
      <c r="S9" s="49">
        <v>-0.31928339164786129</v>
      </c>
      <c r="T9" s="64"/>
    </row>
    <row r="10" spans="1:22" x14ac:dyDescent="0.25">
      <c r="A10" t="s">
        <v>46</v>
      </c>
      <c r="B10" s="44">
        <v>29</v>
      </c>
      <c r="K10" s="67">
        <f t="shared" si="0"/>
        <v>1200</v>
      </c>
      <c r="L10" s="63">
        <v>10000</v>
      </c>
      <c r="M10" s="62">
        <v>0.16125423820599058</v>
      </c>
      <c r="N10" s="49">
        <v>0.1935050858471887</v>
      </c>
      <c r="O10" s="49">
        <v>0.2257559334883868</v>
      </c>
      <c r="P10" s="49">
        <v>0.25800678112958497</v>
      </c>
      <c r="Q10" s="49">
        <v>0.29025762877078304</v>
      </c>
      <c r="R10" s="49">
        <v>0.3063830525913821</v>
      </c>
      <c r="S10" s="49">
        <v>0.31928339164786129</v>
      </c>
      <c r="T10" s="64"/>
    </row>
    <row r="11" spans="1:22" x14ac:dyDescent="0.25">
      <c r="A11" t="s">
        <v>45</v>
      </c>
      <c r="B11" s="7">
        <v>0.99</v>
      </c>
      <c r="K11" s="67">
        <f t="shared" si="0"/>
        <v>1320</v>
      </c>
      <c r="L11" s="63">
        <v>11000</v>
      </c>
      <c r="M11" s="62">
        <v>0.48376271461797177</v>
      </c>
      <c r="N11" s="49">
        <v>0.58051525754156608</v>
      </c>
      <c r="O11" s="49">
        <v>0.67726780046516033</v>
      </c>
      <c r="P11" s="49">
        <v>0.77402034338875503</v>
      </c>
      <c r="Q11" s="49">
        <v>0.87077288631234917</v>
      </c>
      <c r="R11" s="49">
        <v>0.9191491577741463</v>
      </c>
      <c r="S11" s="49">
        <v>0.95785017494358415</v>
      </c>
      <c r="T11" s="64"/>
      <c r="U11" s="33"/>
      <c r="V11" s="33"/>
    </row>
    <row r="12" spans="1:22" x14ac:dyDescent="0.25">
      <c r="A12" t="s">
        <v>11</v>
      </c>
      <c r="B12" s="11">
        <v>2.5</v>
      </c>
      <c r="K12" s="67">
        <f t="shared" si="0"/>
        <v>1440</v>
      </c>
      <c r="L12" s="63">
        <v>12000</v>
      </c>
      <c r="M12" s="62">
        <v>0.80627119102995282</v>
      </c>
      <c r="N12" s="49">
        <v>0.96752542923594353</v>
      </c>
      <c r="O12" s="49">
        <v>1.1287796674419339</v>
      </c>
      <c r="P12" s="49">
        <v>1.2900339056479246</v>
      </c>
      <c r="Q12" s="49">
        <v>1.4512881438539151</v>
      </c>
      <c r="R12" s="49">
        <v>1.5319152629569106</v>
      </c>
      <c r="S12" s="49">
        <v>1.5964169582393068</v>
      </c>
      <c r="T12" s="64"/>
      <c r="U12" s="33"/>
      <c r="V12" s="33"/>
    </row>
    <row r="13" spans="1:22" x14ac:dyDescent="0.25">
      <c r="A13" t="s">
        <v>61</v>
      </c>
      <c r="B13" s="4">
        <v>2100</v>
      </c>
      <c r="C13">
        <f>ship_year</f>
        <v>2022</v>
      </c>
      <c r="D13">
        <f>C13+1</f>
        <v>2023</v>
      </c>
      <c r="E13">
        <f t="shared" ref="E13:F13" si="1">D13+1</f>
        <v>2024</v>
      </c>
      <c r="F13">
        <f t="shared" si="1"/>
        <v>2025</v>
      </c>
      <c r="G13">
        <f>F13+1</f>
        <v>2026</v>
      </c>
      <c r="H13" t="s">
        <v>7</v>
      </c>
      <c r="K13" s="67">
        <f t="shared" si="0"/>
        <v>1560</v>
      </c>
      <c r="L13" s="63">
        <v>13000</v>
      </c>
      <c r="M13" s="49">
        <v>1.1287796674419341</v>
      </c>
      <c r="N13" s="49">
        <v>1.3545356009303209</v>
      </c>
      <c r="O13" s="49">
        <v>1.5802915344187074</v>
      </c>
      <c r="P13" s="49">
        <v>1.8060474679070946</v>
      </c>
      <c r="Q13" s="49">
        <v>2.0318034013954813</v>
      </c>
      <c r="R13" s="49">
        <v>2.1446813681396746</v>
      </c>
      <c r="S13" s="49">
        <v>2.2349837415350295</v>
      </c>
      <c r="T13" s="64"/>
      <c r="U13" s="33"/>
      <c r="V13" s="33"/>
    </row>
    <row r="14" spans="1:22" x14ac:dyDescent="0.25">
      <c r="A14" t="s">
        <v>39</v>
      </c>
      <c r="B14" s="4">
        <v>17500</v>
      </c>
      <c r="C14" s="4"/>
      <c r="D14" s="4"/>
      <c r="E14" s="4"/>
      <c r="F14" s="4"/>
      <c r="G14" s="4"/>
      <c r="H14" s="4"/>
      <c r="K14" s="67">
        <f t="shared" si="0"/>
        <v>1679.9999999999998</v>
      </c>
      <c r="L14" s="63">
        <v>14000</v>
      </c>
      <c r="M14" s="62">
        <v>1.4512881438539151</v>
      </c>
      <c r="N14" s="49">
        <v>1.7415457726246983</v>
      </c>
      <c r="O14" s="49">
        <v>2.0318034013954813</v>
      </c>
      <c r="P14" s="49">
        <v>2.3220610301662643</v>
      </c>
      <c r="Q14" s="49">
        <v>2.6123186589370473</v>
      </c>
      <c r="R14" s="49">
        <v>2.757447473322439</v>
      </c>
      <c r="S14" s="49">
        <v>2.873550524830752</v>
      </c>
      <c r="T14" s="64"/>
      <c r="U14" s="33"/>
      <c r="V14" s="33"/>
    </row>
    <row r="15" spans="1:22" x14ac:dyDescent="0.25">
      <c r="A15" t="s">
        <v>47</v>
      </c>
      <c r="C15" s="4">
        <f>2606*4</f>
        <v>10424</v>
      </c>
      <c r="D15" s="4">
        <f t="shared" ref="D15:H15" si="2">2606*4</f>
        <v>10424</v>
      </c>
      <c r="E15" s="4">
        <f t="shared" si="2"/>
        <v>10424</v>
      </c>
      <c r="F15" s="4">
        <f t="shared" si="2"/>
        <v>10424</v>
      </c>
      <c r="G15" s="4">
        <f t="shared" si="2"/>
        <v>10424</v>
      </c>
      <c r="H15" s="4">
        <f t="shared" si="2"/>
        <v>10424</v>
      </c>
      <c r="K15" s="67">
        <f t="shared" si="0"/>
        <v>1799.9999999999998</v>
      </c>
      <c r="L15" s="63">
        <v>15000</v>
      </c>
      <c r="M15" s="49">
        <v>1.7737966202658961</v>
      </c>
      <c r="N15" s="49">
        <v>2.1285559443190758</v>
      </c>
      <c r="O15" s="49">
        <v>2.4833152683722548</v>
      </c>
      <c r="P15" s="49">
        <v>2.8380745924254347</v>
      </c>
      <c r="Q15" s="49">
        <v>3.1928339164786137</v>
      </c>
      <c r="R15" s="49">
        <v>3.370213578505203</v>
      </c>
      <c r="S15" s="49">
        <v>3.5121173081264749</v>
      </c>
      <c r="T15" s="64"/>
      <c r="U15" s="33"/>
      <c r="V15" s="33"/>
    </row>
    <row r="16" spans="1:22" x14ac:dyDescent="0.25">
      <c r="A16" t="s">
        <v>62</v>
      </c>
      <c r="B16" s="33">
        <f>TCE/BDI</f>
        <v>8.3333333333333339</v>
      </c>
      <c r="C16" s="59">
        <f>C15*$B$11</f>
        <v>10319.76</v>
      </c>
      <c r="D16" s="59">
        <f t="shared" ref="D16:H16" si="3">D15*$B$11</f>
        <v>10319.76</v>
      </c>
      <c r="E16" s="59">
        <f t="shared" si="3"/>
        <v>10319.76</v>
      </c>
      <c r="F16" s="59">
        <f t="shared" si="3"/>
        <v>10319.76</v>
      </c>
      <c r="G16" s="59">
        <f t="shared" si="3"/>
        <v>10319.76</v>
      </c>
      <c r="H16" s="59">
        <f t="shared" si="3"/>
        <v>10319.76</v>
      </c>
      <c r="K16" s="67">
        <f t="shared" si="0"/>
        <v>1919.9999999999998</v>
      </c>
      <c r="L16" s="63">
        <v>16000</v>
      </c>
      <c r="M16" s="49">
        <v>2.0963050966778778</v>
      </c>
      <c r="N16" s="49">
        <v>2.5155661160134537</v>
      </c>
      <c r="O16" s="49">
        <v>2.9348271353490283</v>
      </c>
      <c r="P16" s="49">
        <v>3.3540881546846046</v>
      </c>
      <c r="Q16" s="49">
        <v>3.7733491740201797</v>
      </c>
      <c r="R16" s="49">
        <v>3.982979683687967</v>
      </c>
      <c r="S16" s="49">
        <v>4.1506840914221979</v>
      </c>
      <c r="T16" s="64"/>
      <c r="U16" s="33"/>
      <c r="V16" s="33"/>
    </row>
    <row r="17" spans="1:22" x14ac:dyDescent="0.25">
      <c r="K17" s="67">
        <f t="shared" si="0"/>
        <v>2039.9999999999998</v>
      </c>
      <c r="L17" s="63">
        <v>17000</v>
      </c>
      <c r="M17" s="49">
        <v>2.4188135730898588</v>
      </c>
      <c r="N17" s="49">
        <v>2.9025762877078303</v>
      </c>
      <c r="O17" s="49">
        <v>3.3863390023258018</v>
      </c>
      <c r="P17" s="49">
        <v>3.8701017169437741</v>
      </c>
      <c r="Q17" s="49">
        <v>4.3538644315617452</v>
      </c>
      <c r="R17" s="49">
        <v>4.5957457888707314</v>
      </c>
      <c r="S17" s="49">
        <v>4.7892508747179203</v>
      </c>
      <c r="T17" s="64"/>
      <c r="U17" s="33"/>
      <c r="V17" s="33"/>
    </row>
    <row r="18" spans="1:22" x14ac:dyDescent="0.25">
      <c r="A18" t="s">
        <v>44</v>
      </c>
      <c r="C18" s="11">
        <v>9500</v>
      </c>
      <c r="D18" s="11">
        <v>9500</v>
      </c>
      <c r="E18" s="11">
        <v>9500</v>
      </c>
      <c r="F18" s="11">
        <v>9500</v>
      </c>
      <c r="G18" s="11">
        <v>9500</v>
      </c>
      <c r="H18" s="11">
        <v>9500</v>
      </c>
      <c r="K18" s="67">
        <f t="shared" si="0"/>
        <v>2160</v>
      </c>
      <c r="L18" s="63">
        <v>18000</v>
      </c>
      <c r="M18" s="49">
        <v>2.7413220495018402</v>
      </c>
      <c r="N18" s="49">
        <v>3.2895864594022082</v>
      </c>
      <c r="O18" s="49">
        <v>3.8378508693025752</v>
      </c>
      <c r="P18" s="49">
        <v>4.3861152792029445</v>
      </c>
      <c r="Q18" s="49">
        <v>4.934379689103312</v>
      </c>
      <c r="R18" s="49">
        <v>5.2085118940534958</v>
      </c>
      <c r="S18" s="49">
        <v>5.4278176580136437</v>
      </c>
      <c r="T18" s="64"/>
      <c r="U18" s="33"/>
      <c r="V18" s="33"/>
    </row>
    <row r="19" spans="1:22" x14ac:dyDescent="0.25">
      <c r="A19" t="s">
        <v>48</v>
      </c>
      <c r="B19" s="7">
        <v>0.1</v>
      </c>
      <c r="C19" s="46">
        <f t="shared" ref="C19:H19" si="4">(IF(ISBLANK(C14),TCE,C14)-C18)*$B$19</f>
        <v>800</v>
      </c>
      <c r="D19" s="46">
        <f t="shared" si="4"/>
        <v>800</v>
      </c>
      <c r="E19" s="46">
        <f t="shared" si="4"/>
        <v>800</v>
      </c>
      <c r="F19" s="46">
        <f t="shared" si="4"/>
        <v>800</v>
      </c>
      <c r="G19" s="46">
        <f t="shared" si="4"/>
        <v>800</v>
      </c>
      <c r="H19" s="46">
        <f t="shared" si="4"/>
        <v>800</v>
      </c>
      <c r="K19" s="67">
        <f t="shared" si="0"/>
        <v>2280</v>
      </c>
      <c r="L19" s="63">
        <v>19000</v>
      </c>
      <c r="M19" s="49">
        <v>3.0638305259138212</v>
      </c>
      <c r="N19" s="49">
        <v>3.6765966310965852</v>
      </c>
      <c r="O19" s="49">
        <v>4.2893627362793492</v>
      </c>
      <c r="P19" s="49">
        <v>4.9021288414621136</v>
      </c>
      <c r="Q19" s="49">
        <v>5.514894946644878</v>
      </c>
      <c r="R19" s="49">
        <v>5.8212779992362602</v>
      </c>
      <c r="S19" s="49">
        <v>6.0663844413093653</v>
      </c>
      <c r="T19" s="64"/>
      <c r="U19" s="33"/>
      <c r="V19" s="33"/>
    </row>
    <row r="20" spans="1:22" x14ac:dyDescent="0.25">
      <c r="C20" s="46"/>
      <c r="K20" s="67">
        <f t="shared" si="0"/>
        <v>2400</v>
      </c>
      <c r="L20" s="63">
        <v>20000</v>
      </c>
      <c r="M20" s="49">
        <v>3.3863390023258022</v>
      </c>
      <c r="N20" s="49">
        <v>4.0636068027909626</v>
      </c>
      <c r="O20" s="49">
        <v>4.7408746032561231</v>
      </c>
      <c r="P20" s="49">
        <v>5.4181424037212835</v>
      </c>
      <c r="Q20" s="49">
        <v>6.095410204186444</v>
      </c>
      <c r="R20" s="49">
        <v>6.4340441044190246</v>
      </c>
      <c r="S20" s="49">
        <v>6.7049512246050886</v>
      </c>
      <c r="T20" s="64"/>
      <c r="U20" s="33"/>
      <c r="V20" s="33"/>
    </row>
    <row r="21" spans="1:22" x14ac:dyDescent="0.25">
      <c r="B21" s="48"/>
      <c r="C21" s="48">
        <f>(IF(ISBLANK(C14),TCE,C14)-C18-C19)*C16</f>
        <v>74302272</v>
      </c>
      <c r="D21" s="48">
        <f>(IF(ISBLANK(D14),TCE,D14)-D18-D19)*D16</f>
        <v>74302272</v>
      </c>
      <c r="E21" s="48">
        <f>(IF(ISBLANK(E14),TCE,E14)-E18-E19)*E16</f>
        <v>74302272</v>
      </c>
      <c r="F21" s="48">
        <f>(IF(ISBLANK(F14),TCE,F14)-F18-F19)*F16</f>
        <v>74302272</v>
      </c>
      <c r="G21" s="48">
        <f>(IF(ISBLANK(G14),TCE,G14)-G18-G19)*G16</f>
        <v>74302272</v>
      </c>
      <c r="H21" s="48">
        <f>(IF(ISBLANK(H14),TCE,H14)-H18-H19)*H16*$B$12</f>
        <v>185755680</v>
      </c>
      <c r="K21" s="67">
        <f t="shared" si="0"/>
        <v>2520</v>
      </c>
      <c r="L21" s="63">
        <v>21000</v>
      </c>
      <c r="M21" s="49">
        <v>3.7088474787377832</v>
      </c>
      <c r="N21" s="49">
        <v>4.4506169744853397</v>
      </c>
      <c r="O21" s="49">
        <v>5.1923864702328952</v>
      </c>
      <c r="P21" s="49">
        <v>5.9341559659804544</v>
      </c>
      <c r="Q21" s="49">
        <v>6.6759254617280099</v>
      </c>
      <c r="R21" s="49">
        <v>7.0468102096017882</v>
      </c>
      <c r="S21" s="49">
        <v>7.3435180079008102</v>
      </c>
      <c r="T21" s="64"/>
      <c r="U21" s="33"/>
      <c r="V21" s="33"/>
    </row>
    <row r="22" spans="1:22" x14ac:dyDescent="0.25">
      <c r="B22" s="48"/>
      <c r="C22" s="48"/>
      <c r="D22" s="48"/>
      <c r="E22" s="48"/>
      <c r="F22" s="48"/>
      <c r="G22" s="48"/>
      <c r="H22" s="48"/>
      <c r="K22" s="67">
        <f t="shared" si="0"/>
        <v>2640</v>
      </c>
      <c r="L22" s="63">
        <v>22000</v>
      </c>
      <c r="M22" s="49">
        <v>4.0313559551497651</v>
      </c>
      <c r="N22" s="49">
        <v>4.8376271461797176</v>
      </c>
      <c r="O22" s="49">
        <v>5.64389833720967</v>
      </c>
      <c r="P22" s="49">
        <v>6.4501695282396243</v>
      </c>
      <c r="Q22" s="49">
        <v>7.2564407192695768</v>
      </c>
      <c r="R22" s="49">
        <v>7.6595763147845508</v>
      </c>
      <c r="S22" s="49">
        <v>7.9820847911965336</v>
      </c>
      <c r="T22" s="64"/>
      <c r="U22" s="33"/>
      <c r="V22" s="33"/>
    </row>
    <row r="23" spans="1:22" x14ac:dyDescent="0.25">
      <c r="B23" s="48">
        <f>SUM(C23:H23)</f>
        <v>483318886.70895052</v>
      </c>
      <c r="C23" s="48">
        <f>C21</f>
        <v>74302272</v>
      </c>
      <c r="D23" s="48">
        <f>D21*$B$9^(D13-$C$13)</f>
        <v>70764068.571428567</v>
      </c>
      <c r="E23" s="48">
        <f t="shared" ref="E23:G23" si="5">E21*$B$9^(E13-$C$13)</f>
        <v>67394351.020408154</v>
      </c>
      <c r="F23" s="48">
        <f t="shared" si="5"/>
        <v>64185096.209912531</v>
      </c>
      <c r="G23" s="48">
        <f t="shared" si="5"/>
        <v>61128663.057059549</v>
      </c>
      <c r="H23" s="48">
        <f>H21*$B$9^(5)</f>
        <v>145544435.85014176</v>
      </c>
      <c r="K23" s="67">
        <f t="shared" si="0"/>
        <v>2760</v>
      </c>
      <c r="L23" s="63">
        <v>23000</v>
      </c>
      <c r="M23" s="49">
        <v>4.3538644315617452</v>
      </c>
      <c r="N23" s="49">
        <v>5.2246373178740946</v>
      </c>
      <c r="O23" s="49">
        <v>6.095410204186444</v>
      </c>
      <c r="P23" s="49">
        <v>6.9661830904987943</v>
      </c>
      <c r="Q23" s="49">
        <v>7.8369559768111428</v>
      </c>
      <c r="R23" s="49">
        <v>8.2723424199673143</v>
      </c>
      <c r="S23" s="49">
        <v>8.6206515744922569</v>
      </c>
      <c r="T23" s="64"/>
      <c r="U23" s="33"/>
      <c r="V23" s="33"/>
    </row>
    <row r="24" spans="1:22" x14ac:dyDescent="0.25">
      <c r="K24" s="67">
        <f t="shared" si="0"/>
        <v>2880</v>
      </c>
      <c r="L24" s="63">
        <v>24000</v>
      </c>
      <c r="M24" s="49">
        <v>4.6763729079737271</v>
      </c>
      <c r="N24" s="49">
        <v>5.6116474895684725</v>
      </c>
      <c r="O24" s="49">
        <v>6.546922071163217</v>
      </c>
      <c r="P24" s="49">
        <v>7.4821966527579642</v>
      </c>
      <c r="Q24" s="49">
        <v>8.4174712343527087</v>
      </c>
      <c r="R24" s="49">
        <v>8.8851085251500805</v>
      </c>
      <c r="S24" s="49">
        <v>9.2592183577879812</v>
      </c>
      <c r="T24" s="64"/>
      <c r="U24" s="33"/>
      <c r="V24" s="33"/>
    </row>
    <row r="25" spans="1:22" ht="21" x14ac:dyDescent="0.35">
      <c r="A25" s="50" t="s">
        <v>54</v>
      </c>
      <c r="B25" s="51">
        <f>B23/$B$5</f>
        <v>5.1085342663657807</v>
      </c>
      <c r="K25" s="67">
        <f t="shared" si="0"/>
        <v>3000</v>
      </c>
      <c r="L25" s="63">
        <v>25000</v>
      </c>
      <c r="M25" s="49">
        <v>4.9988813843857081</v>
      </c>
      <c r="N25" s="49">
        <v>5.9986576612628495</v>
      </c>
      <c r="O25" s="49">
        <v>6.99843393813999</v>
      </c>
      <c r="P25" s="49">
        <v>7.9982102150171333</v>
      </c>
      <c r="Q25" s="49">
        <v>8.9979864918942738</v>
      </c>
      <c r="R25" s="49">
        <v>9.497874630332845</v>
      </c>
      <c r="S25" s="49">
        <v>9.8977851410837019</v>
      </c>
      <c r="T25" s="64"/>
      <c r="U25" s="33"/>
      <c r="V25" s="33"/>
    </row>
    <row r="26" spans="1:22" ht="21" x14ac:dyDescent="0.35">
      <c r="A26" s="50" t="s">
        <v>55</v>
      </c>
      <c r="B26" s="52">
        <f>B4</f>
        <v>1.52</v>
      </c>
      <c r="K26" s="67">
        <f t="shared" si="0"/>
        <v>3120</v>
      </c>
      <c r="L26" s="63">
        <v>26000</v>
      </c>
      <c r="M26" s="49">
        <v>5.3213898607976891</v>
      </c>
      <c r="N26" s="49">
        <v>6.3856678329572274</v>
      </c>
      <c r="O26" s="49">
        <v>7.4499458051167631</v>
      </c>
      <c r="P26" s="49">
        <v>8.514223777276305</v>
      </c>
      <c r="Q26" s="49">
        <v>9.5785017494358407</v>
      </c>
      <c r="R26" s="49">
        <v>10.110640735515609</v>
      </c>
      <c r="S26" s="49">
        <v>10.536351924379426</v>
      </c>
      <c r="T26" s="64"/>
      <c r="U26" s="33"/>
      <c r="V26" s="33"/>
    </row>
    <row r="27" spans="1:22" ht="21" x14ac:dyDescent="0.35">
      <c r="A27" s="53"/>
      <c r="B27" s="54"/>
      <c r="K27" s="67">
        <f t="shared" si="0"/>
        <v>3239.9999999999995</v>
      </c>
      <c r="L27" s="63">
        <v>27000</v>
      </c>
      <c r="M27" s="49">
        <v>5.6438983372096709</v>
      </c>
      <c r="N27" s="49">
        <v>6.7726780046516044</v>
      </c>
      <c r="O27" s="49">
        <v>7.9014576720935379</v>
      </c>
      <c r="P27" s="49">
        <v>9.0302373395354731</v>
      </c>
      <c r="Q27" s="49">
        <v>10.159017006977408</v>
      </c>
      <c r="R27" s="49">
        <v>10.723406840698374</v>
      </c>
      <c r="S27" s="49">
        <v>11.174918707675147</v>
      </c>
      <c r="T27" s="64"/>
      <c r="U27" s="33"/>
      <c r="V27" s="33"/>
    </row>
    <row r="28" spans="1:22" ht="21" x14ac:dyDescent="0.35">
      <c r="A28" s="55" t="s">
        <v>56</v>
      </c>
      <c r="B28" s="56">
        <f>B26-B25</f>
        <v>-3.5885342663657807</v>
      </c>
      <c r="C28" s="58">
        <f>B28/B25</f>
        <v>-0.70245868565322744</v>
      </c>
      <c r="K28" s="67">
        <f t="shared" si="0"/>
        <v>3359.9999999999995</v>
      </c>
      <c r="L28" s="63">
        <v>28000</v>
      </c>
      <c r="M28" s="49">
        <v>5.966406813621651</v>
      </c>
      <c r="N28" s="49">
        <v>7.1596881763459814</v>
      </c>
      <c r="O28" s="49">
        <v>8.35296953907031</v>
      </c>
      <c r="P28" s="49">
        <v>9.5462509017946431</v>
      </c>
      <c r="Q28" s="49">
        <v>10.739532264518973</v>
      </c>
      <c r="R28" s="49">
        <v>11.336172945881136</v>
      </c>
      <c r="S28" s="49">
        <v>11.813485490970869</v>
      </c>
      <c r="T28" s="64"/>
      <c r="U28" s="33"/>
      <c r="V28" s="33"/>
    </row>
    <row r="29" spans="1:22" x14ac:dyDescent="0.25">
      <c r="K29" s="67">
        <f t="shared" si="0"/>
        <v>3479.9999999999995</v>
      </c>
      <c r="L29" s="63">
        <v>29000</v>
      </c>
      <c r="M29" s="49">
        <v>6.2889152900336329</v>
      </c>
      <c r="N29" s="49">
        <v>7.5466983480403593</v>
      </c>
      <c r="O29" s="49">
        <v>8.8044814060470848</v>
      </c>
      <c r="P29" s="49">
        <v>10.062264464053815</v>
      </c>
      <c r="Q29" s="49">
        <v>11.320047522060539</v>
      </c>
      <c r="R29" s="49">
        <v>11.948939051063901</v>
      </c>
      <c r="S29" s="49">
        <v>12.452052274266592</v>
      </c>
      <c r="T29" s="64"/>
      <c r="U29" s="33"/>
      <c r="V29" s="33"/>
    </row>
    <row r="30" spans="1:22" x14ac:dyDescent="0.25">
      <c r="K30" s="67">
        <f t="shared" si="0"/>
        <v>3599.9999999999995</v>
      </c>
      <c r="L30" s="63">
        <v>30000</v>
      </c>
      <c r="M30" s="49">
        <v>6.6114237664456139</v>
      </c>
      <c r="N30" s="49">
        <v>7.9337085197347372</v>
      </c>
      <c r="O30" s="49">
        <v>9.2559932730238579</v>
      </c>
      <c r="P30" s="49">
        <v>10.578278026312983</v>
      </c>
      <c r="Q30" s="49">
        <v>11.900562779602106</v>
      </c>
      <c r="R30" s="49">
        <v>12.561705156246665</v>
      </c>
      <c r="S30" s="49">
        <v>13.090619057562316</v>
      </c>
      <c r="T30" s="64"/>
      <c r="U30" s="33"/>
      <c r="V30" s="33"/>
    </row>
    <row r="31" spans="1:22" x14ac:dyDescent="0.25">
      <c r="K31" s="67">
        <f t="shared" si="0"/>
        <v>3719.9999999999995</v>
      </c>
      <c r="L31" s="63">
        <v>31000</v>
      </c>
      <c r="M31" s="49">
        <v>6.9339322428575949</v>
      </c>
      <c r="N31" s="49">
        <v>8.3207186914291142</v>
      </c>
      <c r="O31" s="49">
        <v>9.7075051400006327</v>
      </c>
      <c r="P31" s="49">
        <v>11.094291588572153</v>
      </c>
      <c r="Q31" s="49">
        <v>12.48107803714367</v>
      </c>
      <c r="R31" s="49">
        <v>13.174471261429431</v>
      </c>
      <c r="S31" s="49">
        <v>13.729185840858039</v>
      </c>
      <c r="T31" s="64"/>
      <c r="U31" s="33"/>
      <c r="V31" s="33"/>
    </row>
    <row r="32" spans="1:22" x14ac:dyDescent="0.25">
      <c r="K32" s="67">
        <f t="shared" si="0"/>
        <v>3839.9999999999995</v>
      </c>
      <c r="L32" s="63">
        <v>32000</v>
      </c>
      <c r="M32" s="49">
        <v>7.2564407192695768</v>
      </c>
      <c r="N32" s="49">
        <v>8.7077288631234904</v>
      </c>
      <c r="O32" s="49">
        <v>10.159017006977408</v>
      </c>
      <c r="P32" s="49">
        <v>11.610305150831321</v>
      </c>
      <c r="Q32" s="49">
        <v>13.061593294685238</v>
      </c>
      <c r="R32" s="49">
        <v>13.787237366612196</v>
      </c>
      <c r="S32" s="49">
        <v>14.367752624153763</v>
      </c>
      <c r="T32" s="64"/>
      <c r="U32" s="33"/>
      <c r="V32" s="33"/>
    </row>
    <row r="33" spans="11:22" x14ac:dyDescent="0.25">
      <c r="K33" s="67">
        <f t="shared" si="0"/>
        <v>3959.9999999999995</v>
      </c>
      <c r="L33" s="63">
        <v>33000</v>
      </c>
      <c r="M33" s="49">
        <v>7.5789491956815578</v>
      </c>
      <c r="N33" s="49">
        <v>9.0947390348178683</v>
      </c>
      <c r="O33" s="49">
        <v>10.610528873954179</v>
      </c>
      <c r="P33" s="49">
        <v>12.126318713090495</v>
      </c>
      <c r="Q33" s="49">
        <v>13.642108552226802</v>
      </c>
      <c r="R33" s="49">
        <v>14.400003471794957</v>
      </c>
      <c r="S33" s="49">
        <v>15.006319407449485</v>
      </c>
      <c r="T33" s="64"/>
      <c r="U33" s="33"/>
      <c r="V33" s="33"/>
    </row>
    <row r="34" spans="11:22" x14ac:dyDescent="0.25">
      <c r="K34" s="67">
        <f t="shared" si="0"/>
        <v>4079.9999999999995</v>
      </c>
      <c r="L34" s="63">
        <v>34000</v>
      </c>
      <c r="M34" s="49">
        <v>7.9014576720935388</v>
      </c>
      <c r="N34" s="49">
        <v>9.4817492065122462</v>
      </c>
      <c r="O34" s="49">
        <v>11.062040740930952</v>
      </c>
      <c r="P34" s="49">
        <v>12.642332275349663</v>
      </c>
      <c r="Q34" s="49">
        <v>14.222623809768368</v>
      </c>
      <c r="R34" s="49">
        <v>15.012769576977721</v>
      </c>
      <c r="S34" s="49">
        <v>15.644886190745206</v>
      </c>
      <c r="T34" s="64"/>
      <c r="U34" s="33"/>
      <c r="V34" s="33"/>
    </row>
    <row r="35" spans="11:22" x14ac:dyDescent="0.25">
      <c r="K35" s="67">
        <f t="shared" si="0"/>
        <v>4200</v>
      </c>
      <c r="L35" s="63">
        <v>35000</v>
      </c>
      <c r="M35" s="49">
        <v>8.2239661485055198</v>
      </c>
      <c r="N35" s="49">
        <v>9.8687593782066241</v>
      </c>
      <c r="O35" s="49">
        <v>11.513552607907725</v>
      </c>
      <c r="P35" s="49">
        <v>13.158345837608833</v>
      </c>
      <c r="Q35" s="49">
        <v>14.803139067309937</v>
      </c>
      <c r="R35" s="49">
        <v>15.625535682160486</v>
      </c>
      <c r="S35" s="49">
        <v>16.28345297404093</v>
      </c>
      <c r="T35" s="64"/>
      <c r="U35" s="33"/>
      <c r="V35" s="33"/>
    </row>
    <row r="36" spans="11:22" x14ac:dyDescent="0.25">
      <c r="K36" s="67">
        <f t="shared" si="0"/>
        <v>4320</v>
      </c>
      <c r="L36" s="63">
        <v>36000</v>
      </c>
      <c r="M36" s="49">
        <v>8.5464746249175008</v>
      </c>
      <c r="N36" s="49">
        <v>10.255769549901</v>
      </c>
      <c r="O36" s="49">
        <v>11.9650644748845</v>
      </c>
      <c r="P36" s="49">
        <v>13.674359399868004</v>
      </c>
      <c r="Q36" s="49">
        <v>15.383654324851504</v>
      </c>
      <c r="R36" s="49">
        <v>16.23830178734325</v>
      </c>
      <c r="S36" s="49">
        <v>16.922019757336653</v>
      </c>
      <c r="T36" s="64"/>
      <c r="U36" s="33"/>
      <c r="V36" s="33"/>
    </row>
    <row r="37" spans="11:22" x14ac:dyDescent="0.25">
      <c r="T37" s="64"/>
      <c r="U37" s="33"/>
      <c r="V37" s="33"/>
    </row>
    <row r="38" spans="11:22" x14ac:dyDescent="0.25">
      <c r="T38" s="64"/>
      <c r="U38" s="33"/>
      <c r="V38" s="33"/>
    </row>
  </sheetData>
  <conditionalFormatting sqref="M5:S36">
    <cfRule type="iconSet" priority="1">
      <iconSet iconSet="3Symbols2">
        <cfvo type="percent" val="0"/>
        <cfvo type="num" val="$B$26"/>
        <cfvo type="num" val="$B$26"/>
      </iconSet>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23E33-2F86-42A3-9505-1561989A88B4}">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FF18A-3CA1-411C-B018-3614C243BA68}">
  <dimension ref="A1:A3"/>
  <sheetViews>
    <sheetView workbookViewId="0">
      <selection sqref="A1:A3"/>
    </sheetView>
  </sheetViews>
  <sheetFormatPr defaultRowHeight="15" x14ac:dyDescent="0.25"/>
  <cols>
    <col min="1" max="1" width="12.42578125" customWidth="1"/>
  </cols>
  <sheetData>
    <row r="1" spans="1:1" x14ac:dyDescent="0.25">
      <c r="A1" t="s">
        <v>22</v>
      </c>
    </row>
    <row r="2" spans="1:1" x14ac:dyDescent="0.25">
      <c r="A2" t="s">
        <v>23</v>
      </c>
    </row>
    <row r="3" spans="1:1" x14ac:dyDescent="0.25">
      <c r="A3" t="s">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Minerals Asset Valuation</vt:lpstr>
      <vt:lpstr>Shipping Valuation</vt:lpstr>
      <vt:lpstr>Optionality</vt:lpstr>
      <vt:lpstr>tables</vt:lpstr>
      <vt:lpstr>asset</vt:lpstr>
      <vt:lpstr>BDI</vt:lpstr>
      <vt:lpstr>BDI_TCE</vt:lpstr>
      <vt:lpstr>cap</vt:lpstr>
      <vt:lpstr>DiscFactor</vt:lpstr>
      <vt:lpstr>DiscountRate</vt:lpstr>
      <vt:lpstr>EV</vt:lpstr>
      <vt:lpstr>num_vessels</vt:lpstr>
      <vt:lpstr>place</vt:lpstr>
      <vt:lpstr>price</vt:lpstr>
      <vt:lpstr>shares</vt:lpstr>
      <vt:lpstr>ship_disc</vt:lpstr>
      <vt:lpstr>ship_year</vt:lpstr>
      <vt:lpstr>stock</vt:lpstr>
      <vt:lpstr>TCE</vt:lpstr>
      <vt:lpstr>Terminal</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Maxwell</dc:creator>
  <cp:lastModifiedBy>Robert Maxwell</cp:lastModifiedBy>
  <dcterms:created xsi:type="dcterms:W3CDTF">2022-06-07T16:10:21Z</dcterms:created>
  <dcterms:modified xsi:type="dcterms:W3CDTF">2022-06-27T22:53:06Z</dcterms:modified>
</cp:coreProperties>
</file>