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defaultThemeVersion="166925"/>
  <mc:AlternateContent xmlns:mc="http://schemas.openxmlformats.org/markup-compatibility/2006">
    <mc:Choice Requires="x15">
      <x15ac:absPath xmlns:x15ac="http://schemas.microsoft.com/office/spreadsheetml/2010/11/ac" url="C:\Users\maxwe\OneDrive\Documents\Templates\"/>
    </mc:Choice>
  </mc:AlternateContent>
  <xr:revisionPtr revIDLastSave="0" documentId="13_ncr:1_{C0B12336-FFB4-442C-8A0F-EB1F68C6A806}" xr6:coauthVersionLast="47" xr6:coauthVersionMax="47" xr10:uidLastSave="{00000000-0000-0000-0000-000000000000}"/>
  <bookViews>
    <workbookView xWindow="-28920" yWindow="-270" windowWidth="29040" windowHeight="15720" activeTab="2" xr2:uid="{036F7FEB-0DDA-4C0D-8054-1E03030D4ECB}"/>
  </bookViews>
  <sheets>
    <sheet name="Model" sheetId="1" r:id="rId1"/>
    <sheet name="tables" sheetId="2" r:id="rId2"/>
    <sheet name="BlackScholesCalc" sheetId="3" r:id="rId3"/>
  </sheets>
  <definedNames>
    <definedName name="AL_Adjust">Model!$B$6</definedName>
    <definedName name="BS_A">BlackScholesCalc!$D$20</definedName>
    <definedName name="BS_B">BlackScholesCalc!$D$21</definedName>
    <definedName name="BS_C">BlackScholesCalc!$D$22</definedName>
    <definedName name="BS_D1">BlackScholesCalc!$D$24</definedName>
    <definedName name="BS_D2">BlackScholesCalc!$D$25</definedName>
    <definedName name="BS_E">BlackScholesCalc!$D$32</definedName>
    <definedName name="BS_F">BlackScholesCalc!$D$33</definedName>
    <definedName name="BS_ND1">BlackScholesCalc!$D$27</definedName>
    <definedName name="BS_ND2">BlackScholesCalc!$D$28</definedName>
    <definedName name="discfactor">Model!$C$10</definedName>
    <definedName name="discrate">Model!$B$10</definedName>
    <definedName name="expdate">BlackScholesCalc!$D$12</definedName>
    <definedName name="Price">BlackScholesCalc!$D$4</definedName>
    <definedName name="Price_OV">BlackScholesCalc!$D$5</definedName>
    <definedName name="pricingdate">BlackScholesCalc!$D$11</definedName>
    <definedName name="_xlnm.Print_Area" localSheetId="0">Model!$F$1:$P$20</definedName>
    <definedName name="rate">BlackScholesCalc!$D$8</definedName>
    <definedName name="startyear">Model!$B$11</definedName>
    <definedName name="stock">BlackScholesCalc!$D$3</definedName>
    <definedName name="strike">BlackScholesCalc!$D$6</definedName>
    <definedName name="t_aisc">Model!$B$82</definedName>
    <definedName name="t_aisc1">Model!$B$38</definedName>
    <definedName name="t_aisc2">Model!$B$60</definedName>
    <definedName name="t_aisc3">Model!$B$82</definedName>
    <definedName name="t_annual_prod">Model!$B$40</definedName>
    <definedName name="t_annual_prod2">Model!$B$62</definedName>
    <definedName name="t_annual_prod3">Model!$B$84</definedName>
    <definedName name="t_asset_price1">Model!$B$36</definedName>
    <definedName name="t_asset_price2">Model!$B$58</definedName>
    <definedName name="t_asset_price3">Model!$B$80</definedName>
    <definedName name="t_recovery_rate2">Model!$B$59</definedName>
    <definedName name="t_recovery1">Model!$B$37</definedName>
    <definedName name="t_recovery2">Model!$B$59</definedName>
    <definedName name="t_recovery3">Model!$B$81</definedName>
    <definedName name="t_remaining1">Model!$B$39</definedName>
    <definedName name="t_remaining2">Model!$B$61</definedName>
    <definedName name="t_remaining3">Model!$B$83</definedName>
    <definedName name="t_year2">Model!$B$63</definedName>
    <definedName name="t_year3">Model!$B$85</definedName>
    <definedName name="t_years1">Model!$B$41</definedName>
    <definedName name="t_years2">Model!$B$63</definedName>
    <definedName name="t_years3">Model!$B$85</definedName>
    <definedName name="termduration">Model!#REF!</definedName>
    <definedName name="termduration1">Model!#REF!</definedName>
    <definedName name="termmulti1">Model!#REF!</definedName>
    <definedName name="timetoexp">BlackScholesCalc!$D$13</definedName>
    <definedName name="trading_days">BlackScholesCalc!$D$15</definedName>
    <definedName name="volatility">BlackScholesCalc!$D$7</definedName>
    <definedName name="yeartoexp">BlackScholesCalc!$D$14</definedName>
    <definedName name="yield">BlackScholesCalc!$D$9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7" i="3" l="1"/>
  <c r="K11" i="3"/>
  <c r="I11" i="3"/>
  <c r="I12" i="3" s="1"/>
  <c r="G11" i="3"/>
  <c r="D11" i="3"/>
  <c r="D14" i="3" s="1"/>
  <c r="D4" i="3" a="1"/>
  <c r="D4" i="3" s="1"/>
  <c r="M9" i="1"/>
  <c r="F3" i="1"/>
  <c r="K4" i="1"/>
  <c r="F14" i="1"/>
  <c r="A14" i="1" s="1"/>
  <c r="F15" i="1"/>
  <c r="A15" i="1" s="1"/>
  <c r="F16" i="1"/>
  <c r="A16" i="1" s="1"/>
  <c r="K8" i="1" a="1"/>
  <c r="K8" i="1" s="1"/>
  <c r="F2" i="1"/>
  <c r="M16" i="1"/>
  <c r="K69" i="1"/>
  <c r="K74" i="1" s="1"/>
  <c r="I75" i="1"/>
  <c r="J75" i="1"/>
  <c r="K75" i="1"/>
  <c r="H75" i="1"/>
  <c r="M50" i="1"/>
  <c r="M49" i="1"/>
  <c r="I53" i="1"/>
  <c r="J53" i="1"/>
  <c r="K53" i="1"/>
  <c r="H53" i="1"/>
  <c r="G47" i="1"/>
  <c r="G52" i="1" s="1"/>
  <c r="B53" i="1"/>
  <c r="B61" i="1" s="1"/>
  <c r="B63" i="1" s="1"/>
  <c r="H81" i="1"/>
  <c r="G75" i="1"/>
  <c r="B75" i="1"/>
  <c r="B83" i="1" s="1"/>
  <c r="B85" i="1" s="1"/>
  <c r="M72" i="1"/>
  <c r="M71" i="1"/>
  <c r="C70" i="1"/>
  <c r="F71" i="1" s="1"/>
  <c r="J69" i="1"/>
  <c r="J74" i="1" s="1"/>
  <c r="I69" i="1"/>
  <c r="I74" i="1" s="1"/>
  <c r="H69" i="1"/>
  <c r="H74" i="1" s="1"/>
  <c r="G69" i="1"/>
  <c r="G74" i="1" s="1"/>
  <c r="G68" i="1"/>
  <c r="H68" i="1" s="1"/>
  <c r="I68" i="1" s="1"/>
  <c r="J68" i="1" s="1"/>
  <c r="K68" i="1" s="1"/>
  <c r="H59" i="1"/>
  <c r="G53" i="1"/>
  <c r="C48" i="1"/>
  <c r="C53" i="1" s="1"/>
  <c r="K47" i="1"/>
  <c r="M47" i="1" s="1"/>
  <c r="J47" i="1"/>
  <c r="J52" i="1" s="1"/>
  <c r="I47" i="1"/>
  <c r="I52" i="1" s="1"/>
  <c r="H47" i="1"/>
  <c r="H52" i="1" s="1"/>
  <c r="G46" i="1"/>
  <c r="H46" i="1" s="1"/>
  <c r="I46" i="1" s="1"/>
  <c r="J46" i="1" s="1"/>
  <c r="K46" i="1" s="1"/>
  <c r="M28" i="1"/>
  <c r="M27" i="1"/>
  <c r="H31" i="1"/>
  <c r="G31" i="1"/>
  <c r="K25" i="1"/>
  <c r="M25" i="1" s="1"/>
  <c r="J25" i="1"/>
  <c r="I25" i="1"/>
  <c r="H25" i="1"/>
  <c r="H30" i="1" s="1"/>
  <c r="G25" i="1"/>
  <c r="G30" i="1" s="1"/>
  <c r="D2" i="2" a="1"/>
  <c r="D2" i="2" s="1"/>
  <c r="D3" i="2" a="1"/>
  <c r="D3" i="2" s="1"/>
  <c r="D4" i="2" a="1"/>
  <c r="D4" i="2" s="1"/>
  <c r="C26" i="1"/>
  <c r="H37" i="1"/>
  <c r="D22" i="3" l="1"/>
  <c r="D21" i="3"/>
  <c r="D33" i="3"/>
  <c r="D32" i="3"/>
  <c r="D38" i="3"/>
  <c r="D20" i="3"/>
  <c r="I13" i="3"/>
  <c r="I14" i="3" s="1"/>
  <c r="M53" i="1"/>
  <c r="M75" i="1"/>
  <c r="H33" i="1"/>
  <c r="M57" i="1"/>
  <c r="M52" i="1"/>
  <c r="B77" i="1"/>
  <c r="B55" i="1"/>
  <c r="G77" i="1"/>
  <c r="M69" i="1"/>
  <c r="G55" i="1"/>
  <c r="K52" i="1"/>
  <c r="K55" i="1" s="1"/>
  <c r="I77" i="1"/>
  <c r="H77" i="1"/>
  <c r="J77" i="1"/>
  <c r="K77" i="1"/>
  <c r="H55" i="1"/>
  <c r="I55" i="1"/>
  <c r="J55" i="1"/>
  <c r="C75" i="1"/>
  <c r="F49" i="1"/>
  <c r="I31" i="1"/>
  <c r="J31" i="1"/>
  <c r="K31" i="1"/>
  <c r="I30" i="1"/>
  <c r="J30" i="1"/>
  <c r="K30" i="1"/>
  <c r="G33" i="1"/>
  <c r="G24" i="1"/>
  <c r="H24" i="1" s="1"/>
  <c r="I24" i="1" s="1"/>
  <c r="J24" i="1" s="1"/>
  <c r="K24" i="1" s="1"/>
  <c r="C10" i="1"/>
  <c r="D24" i="3" l="1"/>
  <c r="D25" i="3" s="1"/>
  <c r="G79" i="1"/>
  <c r="G16" i="1" s="1"/>
  <c r="M55" i="1"/>
  <c r="M79" i="1"/>
  <c r="M74" i="1"/>
  <c r="M77" i="1" s="1"/>
  <c r="K79" i="1"/>
  <c r="K16" i="1" s="1"/>
  <c r="J79" i="1"/>
  <c r="J16" i="1" s="1"/>
  <c r="H79" i="1"/>
  <c r="H16" i="1" s="1"/>
  <c r="I79" i="1"/>
  <c r="I16" i="1" s="1"/>
  <c r="G35" i="1"/>
  <c r="G14" i="1" s="1"/>
  <c r="I57" i="1"/>
  <c r="I15" i="1" s="1"/>
  <c r="H57" i="1"/>
  <c r="H15" i="1" s="1"/>
  <c r="J57" i="1"/>
  <c r="J15" i="1" s="1"/>
  <c r="G57" i="1"/>
  <c r="G15" i="1" s="1"/>
  <c r="M15" i="1"/>
  <c r="K57" i="1"/>
  <c r="K15" i="1" s="1"/>
  <c r="J33" i="1"/>
  <c r="I33" i="1"/>
  <c r="K33" i="1"/>
  <c r="B31" i="1"/>
  <c r="B7" i="1" a="1"/>
  <c r="B7" i="1" s="1"/>
  <c r="B4" i="1" a="1"/>
  <c r="B4" i="1" s="1"/>
  <c r="B3" i="1" a="1"/>
  <c r="B3" i="1" s="1"/>
  <c r="D35" i="3" l="1"/>
  <c r="L4" i="3" s="1"/>
  <c r="D27" i="3"/>
  <c r="I3" i="3" s="1"/>
  <c r="D29" i="3"/>
  <c r="D36" i="3"/>
  <c r="D28" i="3"/>
  <c r="D30" i="3"/>
  <c r="N15" i="1"/>
  <c r="O15" i="1" s="1"/>
  <c r="N16" i="1"/>
  <c r="O16" i="1" s="1"/>
  <c r="G19" i="1"/>
  <c r="G81" i="1"/>
  <c r="G82" i="1" s="1"/>
  <c r="J35" i="1"/>
  <c r="J14" i="1" s="1"/>
  <c r="I35" i="1"/>
  <c r="I14" i="1" s="1"/>
  <c r="H35" i="1"/>
  <c r="H14" i="1" s="1"/>
  <c r="G59" i="1"/>
  <c r="B33" i="1"/>
  <c r="B39" i="1"/>
  <c r="K35" i="1"/>
  <c r="K14" i="1" s="1"/>
  <c r="K19" i="1" s="1"/>
  <c r="C31" i="1"/>
  <c r="F27" i="1"/>
  <c r="L3" i="3" l="1"/>
  <c r="J4" i="3"/>
  <c r="J3" i="3"/>
  <c r="I4" i="3"/>
  <c r="M4" i="3"/>
  <c r="G4" i="3"/>
  <c r="K4" i="3"/>
  <c r="M3" i="3"/>
  <c r="G3" i="3"/>
  <c r="K3" i="3"/>
  <c r="B41" i="1"/>
  <c r="M35" i="1" s="1"/>
  <c r="M14" i="1" s="1"/>
  <c r="N14" i="1" s="1"/>
  <c r="O14" i="1" s="1"/>
  <c r="M31" i="1"/>
  <c r="M30" i="1"/>
  <c r="I19" i="1"/>
  <c r="J19" i="1"/>
  <c r="G60" i="1"/>
  <c r="M33" i="1" l="1"/>
  <c r="H19" i="1"/>
  <c r="G37" i="1"/>
  <c r="G38" i="1" s="1"/>
  <c r="M19" i="1" l="1"/>
  <c r="K3" i="1" s="1"/>
  <c r="K6" i="1" s="1"/>
  <c r="K7" i="1" l="1"/>
  <c r="K9" i="1" s="1"/>
  <c r="O19" i="1"/>
  <c r="N19" i="1"/>
  <c r="K10"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Maxwell</author>
  </authors>
  <commentList>
    <comment ref="B5" authorId="0" shapeId="0" xr:uid="{9E04CC93-118C-44BE-AC3B-4C83EEAAFCCC}">
      <text>
        <r>
          <rPr>
            <b/>
            <sz val="9"/>
            <color indexed="81"/>
            <rFont val="Tahoma"/>
            <family val="2"/>
          </rPr>
          <t>Robert Maxwell:</t>
        </r>
        <r>
          <rPr>
            <sz val="9"/>
            <color indexed="81"/>
            <rFont val="Tahoma"/>
            <family val="2"/>
          </rPr>
          <t xml:space="preserve">
Fully diluted shares don't flow through the API</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<sst xmlns="http://schemas.openxmlformats.org/spreadsheetml/2006/main" count="209" uniqueCount="142">
  <si>
    <t>Inputs</t>
  </si>
  <si>
    <t>Asset Name</t>
  </si>
  <si>
    <t>Measured and Indicated</t>
  </si>
  <si>
    <t>Inferred</t>
  </si>
  <si>
    <t>Assumptions</t>
  </si>
  <si>
    <t>Resource</t>
  </si>
  <si>
    <t>Total Reserves and Resources</t>
  </si>
  <si>
    <t>Silver</t>
  </si>
  <si>
    <t>Gold</t>
  </si>
  <si>
    <t>Platinum</t>
  </si>
  <si>
    <t>Uranium</t>
  </si>
  <si>
    <t>Copper</t>
  </si>
  <si>
    <t>Zgounder</t>
  </si>
  <si>
    <t>Factors</t>
  </si>
  <si>
    <t>Proven &amp; Probable</t>
  </si>
  <si>
    <t>DecimalPlace</t>
  </si>
  <si>
    <t>Mlbs</t>
  </si>
  <si>
    <t>Moz</t>
  </si>
  <si>
    <t>Company</t>
  </si>
  <si>
    <t>Price</t>
  </si>
  <si>
    <t>Shares Oustanding (m)</t>
  </si>
  <si>
    <t>Market Cap (m)</t>
  </si>
  <si>
    <t>Discount Rate</t>
  </si>
  <si>
    <t>Finance</t>
  </si>
  <si>
    <t>Gross Revenue</t>
  </si>
  <si>
    <t>All In Sustaining Cost</t>
  </si>
  <si>
    <t>Terminal</t>
  </si>
  <si>
    <t>Expenses</t>
  </si>
  <si>
    <t>Free Cash Flow</t>
  </si>
  <si>
    <t>Discounted Cash Flow</t>
  </si>
  <si>
    <t>PVF Cash Flow</t>
  </si>
  <si>
    <t>Per Share</t>
  </si>
  <si>
    <t>Linear Depletion</t>
  </si>
  <si>
    <t>years</t>
  </si>
  <si>
    <t>Spot</t>
  </si>
  <si>
    <t>Forward1</t>
  </si>
  <si>
    <t>Forward2</t>
  </si>
  <si>
    <t>Forward3</t>
  </si>
  <si>
    <t>Forward4</t>
  </si>
  <si>
    <t>Forward5</t>
  </si>
  <si>
    <t>Ticker</t>
  </si>
  <si>
    <t>Forward Strip</t>
  </si>
  <si>
    <t>Terminal Recovery Rate</t>
  </si>
  <si>
    <t>Terminal AISC</t>
  </si>
  <si>
    <t>Terminal Remaining</t>
  </si>
  <si>
    <t>Terminal Annual Production</t>
  </si>
  <si>
    <t>Terminal Years</t>
  </si>
  <si>
    <t>Terminal Assumptions</t>
  </si>
  <si>
    <t>Terminal Asset Price</t>
  </si>
  <si>
    <t>Asset 1</t>
  </si>
  <si>
    <t>Asset 2</t>
  </si>
  <si>
    <t>Asset3</t>
  </si>
  <si>
    <t>Terminal NPV</t>
  </si>
  <si>
    <t>Discounted FCF</t>
  </si>
  <si>
    <t>PVFCF</t>
  </si>
  <si>
    <t>Per share</t>
  </si>
  <si>
    <t>Asset2</t>
  </si>
  <si>
    <t>Premium/(Discount)</t>
  </si>
  <si>
    <t>Percent</t>
  </si>
  <si>
    <t>Asset 3</t>
  </si>
  <si>
    <t>P/NAV Multiple</t>
  </si>
  <si>
    <t>Cost of Capex</t>
  </si>
  <si>
    <t>Adjustments</t>
  </si>
  <si>
    <t>Total</t>
  </si>
  <si>
    <t>Year End</t>
  </si>
  <si>
    <t>Project</t>
  </si>
  <si>
    <t>DCF0</t>
  </si>
  <si>
    <t>DCF1</t>
  </si>
  <si>
    <t>DCF2</t>
  </si>
  <si>
    <t>DCF3</t>
  </si>
  <si>
    <t>DCF4</t>
  </si>
  <si>
    <t>Total NPV</t>
  </si>
  <si>
    <t>Present Value Calcs</t>
  </si>
  <si>
    <t>Other Asset/Liability Adjustments</t>
  </si>
  <si>
    <t>A/L Adjustments</t>
  </si>
  <si>
    <t>Company NAV</t>
  </si>
  <si>
    <t>In Millions</t>
  </si>
  <si>
    <t>In Thousands</t>
  </si>
  <si>
    <t>Additional Shares Fully Dilluted</t>
  </si>
  <si>
    <t>Notes</t>
  </si>
  <si>
    <t>Silver Price at Forward Strip</t>
  </si>
  <si>
    <t>Excludes Future Development and Expl</t>
  </si>
  <si>
    <t>Control Panel</t>
  </si>
  <si>
    <t>LOGO HERE</t>
  </si>
  <si>
    <t>Real Options Inputs</t>
  </si>
  <si>
    <t>Black-Scholes Model Calculator</t>
  </si>
  <si>
    <t>Real Option Valuation</t>
  </si>
  <si>
    <t>Natural Resource Definitions</t>
  </si>
  <si>
    <t>Parameters</t>
  </si>
  <si>
    <t>Delta</t>
  </si>
  <si>
    <t>Gamma</t>
  </si>
  <si>
    <t>Theta</t>
  </si>
  <si>
    <t>Vega</t>
  </si>
  <si>
    <t>Rho</t>
  </si>
  <si>
    <t>Call</t>
  </si>
  <si>
    <t>Present value of expected cash flows from investment</t>
  </si>
  <si>
    <t>Estimated value of natural resources reserve. Usually estimated as the quantity of resources times the current price</t>
  </si>
  <si>
    <t>Put</t>
  </si>
  <si>
    <t>Price OV</t>
  </si>
  <si>
    <t>Present value of required investment costs in real asset</t>
  </si>
  <si>
    <t>Cost of developing the reserve. Generally assumed to be known and fixed</t>
  </si>
  <si>
    <t>Strike</t>
  </si>
  <si>
    <t>Debit Spread</t>
  </si>
  <si>
    <t>&lt;&lt;&lt;=== PASTE HERE ===&gt;&gt;&gt;</t>
  </si>
  <si>
    <t>Volatility of underlying cash flows</t>
  </si>
  <si>
    <t>Since the quantity of the resource is assumed to be known, the volatility in price of natural resources</t>
  </si>
  <si>
    <t>Volatility</t>
  </si>
  <si>
    <t>Buy Call</t>
  </si>
  <si>
    <t>Risk-free interest rate</t>
  </si>
  <si>
    <t>Risk free rate</t>
  </si>
  <si>
    <t>Sell Call</t>
  </si>
  <si>
    <t>Cash flows lost to competitors</t>
  </si>
  <si>
    <t>Annual cash flow as a percentage of the value of the underlying asset. Once the reserve becomes viable, this is what the firm is losing by not developing the reserve (also cost of delay)</t>
  </si>
  <si>
    <t>Div yield</t>
  </si>
  <si>
    <t>Period for which investment opportunity is available</t>
  </si>
  <si>
    <t>Can be defined in one of two ways: - If rights to the reserve are for a finite period, use that period. - The number of years of production it would take to exhaust the estimated reserve. (Gold mine with a mine inventory of 3m ounces and capacity output rate of 150000 ounces a year will be exhausted in 20 years)</t>
  </si>
  <si>
    <t>Time to expiration</t>
  </si>
  <si>
    <t>Theta Cost Carry</t>
  </si>
  <si>
    <t>Pricing date</t>
  </si>
  <si>
    <t>Net Debit</t>
  </si>
  <si>
    <t>Expiration date</t>
  </si>
  <si>
    <t>Days to expiration</t>
  </si>
  <si>
    <t>% year to expiration</t>
  </si>
  <si>
    <t>Leverage Ratio</t>
  </si>
  <si>
    <t>Trading Days In Year</t>
  </si>
  <si>
    <t>(use 252 for market days)</t>
  </si>
  <si>
    <t>BS Workflow</t>
  </si>
  <si>
    <t>A: ln(price/strike)</t>
  </si>
  <si>
    <t>B: t(r-q+s2/2)</t>
  </si>
  <si>
    <t>C: ssqrt(t)</t>
  </si>
  <si>
    <t>D1</t>
  </si>
  <si>
    <t>D2</t>
  </si>
  <si>
    <t>N(D1)</t>
  </si>
  <si>
    <t>N(D2)</t>
  </si>
  <si>
    <t>N(-D1)</t>
  </si>
  <si>
    <t>N(-D2)</t>
  </si>
  <si>
    <t>E: e-qt</t>
  </si>
  <si>
    <t>F: e-rt</t>
  </si>
  <si>
    <t>N'(D1)</t>
  </si>
  <si>
    <t>N'(D2)</t>
  </si>
  <si>
    <t>1/T</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</si>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</sst>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8" formatCode="&quot;$&quot;#,##0.00_);[Red]\(&quot;$&quot;#,##0.00\)"/>
    <numFmt numFmtId="44" formatCode="_(&quot;$&quot;* #,##0.00_);_(&quot;$&quot;* \(#,##0.00\);_(&quot;$&quot;* &quot;-&quot;??_);_(@_)"/>
    <numFmt numFmtId="43" formatCode="_(* #,##0.00_);_(* \(#,##0.00\);_(* &quot;-&quot;??_);_(@_)"/>
    <numFmt numFmtId="164" formatCode="_([$$-409]* #,##0.00_);_([$$-409]* \(#,##0.00\);_([$$-409]* &quot;-&quot;??_);_(@_)"/>
    <numFmt numFmtId="165" formatCode="_(* #,##0.0_);_(* \(#,##0.0\);_(* &quot;-&quot;??_);_(@_)"/>
    <numFmt numFmtId="166" formatCode="0.000"/>
    <numFmt numFmtId="167" formatCode="0.0"/>
    <numFmt numFmtId="168" formatCode="0.00000"/>
    <numFmt numFmtId="169" formatCode="0.0%"/>
    <numFmt numFmtId="170" formatCode="0.0000"/>
  </numFmts>
  <fonts count="16" x14ac:knownFonts="1">
    <font>
      <sz val="11"/>
      <color theme="1"/>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sz val="8"/>
      <name val="Calibri"/>
      <family val="2"/>
      <scheme val="minor"/>
    </font>
    <font>
      <b/>
      <sz val="14"/>
      <color theme="1"/>
      <name val="Calibri"/>
      <family val="2"/>
      <scheme val="minor"/>
    </font>
    <font>
      <sz val="11"/>
      <color theme="0"/>
      <name val="Calibri"/>
      <family val="2"/>
      <scheme val="minor"/>
    </font>
    <font>
      <sz val="14"/>
      <color theme="0"/>
      <name val="Calibri"/>
      <family val="2"/>
      <scheme val="minor"/>
    </font>
    <font>
      <sz val="9"/>
      <color theme="1"/>
      <name val="Calibri"/>
      <family val="2"/>
      <scheme val="minor"/>
    </font>
    <font>
      <sz val="9"/>
      <color indexed="81"/>
      <name val="Tahoma"/>
      <family val="2"/>
    </font>
    <font>
      <b/>
      <sz val="9"/>
      <color indexed="81"/>
      <name val="Tahoma"/>
      <family val="2"/>
    </font>
    <font>
      <b/>
      <sz val="11"/>
      <color rgb="FF3F3F3F"/>
      <name val="Calibri"/>
      <family val="2"/>
      <scheme val="minor"/>
    </font>
    <font>
      <b/>
      <sz val="16"/>
      <color theme="0"/>
      <name val="Calibri"/>
      <family val="2"/>
      <scheme val="minor"/>
    </font>
    <font>
      <b/>
      <sz val="11"/>
      <color rgb="FF3F3F76"/>
      <name val="Calibri"/>
      <family val="2"/>
      <scheme val="minor"/>
    </font>
    <font>
      <b/>
      <sz val="12"/>
      <color theme="1"/>
      <name val="Calibri"/>
      <family val="2"/>
      <scheme val="minor"/>
    </font>
  </fonts>
  <fills count="10">
    <fill>
      <patternFill patternType="none"/>
    </fill>
    <fill>
      <patternFill patternType="gray125"/>
    </fill>
    <fill>
      <patternFill patternType="solid">
        <fgColor rgb="FFFFCC99"/>
      </patternFill>
    </fill>
    <fill>
      <patternFill patternType="solid">
        <fgColor rgb="FFF2F2F2"/>
      </patternFill>
    </fill>
    <fill>
      <patternFill patternType="solid">
        <fgColor theme="9" tint="0.39997558519241921"/>
        <bgColor indexed="65"/>
      </patternFill>
    </fill>
    <fill>
      <patternFill patternType="solid">
        <fgColor theme="4"/>
      </patternFill>
    </fill>
    <fill>
      <patternFill patternType="solid">
        <fgColor theme="6" tint="0.59999389629810485"/>
        <bgColor indexed="65"/>
      </patternFill>
    </fill>
    <fill>
      <patternFill patternType="solid">
        <fgColor theme="9" tint="0.59999389629810485"/>
        <bgColor indexed="65"/>
      </patternFill>
    </fill>
    <fill>
      <patternFill patternType="solid">
        <fgColor theme="6" tint="0.79998168889431442"/>
        <bgColor indexed="65"/>
      </patternFill>
    </fill>
    <fill>
      <patternFill patternType="solid">
        <fgColor theme="6" tint="0.39997558519241921"/>
        <bgColor indexed="65"/>
      </patternFill>
    </fill>
  </fills>
  <borders count="17">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thin">
        <color rgb="FF3F3F3F"/>
      </left>
      <right style="thin">
        <color rgb="FF3F3F3F"/>
      </right>
      <top style="thin">
        <color rgb="FF3F3F3F"/>
      </top>
      <bottom style="thin">
        <color rgb="FF3F3F3F"/>
      </bottom>
      <diagonal/>
    </border>
  </borders>
  <cellStyleXfs count="13">
    <xf numFmtId="0" fontId="0" fillId="0" borderId="0"/>
    <xf numFmtId="43" fontId="1" fillId="0" borderId="0" applyFont="0" applyFill="0" applyBorder="0" applyAlignment="0" applyProtection="0"/>
    <xf numFmtId="44" fontId="1" fillId="0" borderId="0" applyFont="0" applyFill="0" applyBorder="0" applyAlignment="0" applyProtection="0"/>
    <xf numFmtId="0" fontId="2" fillId="2" borderId="1" applyNumberFormat="0" applyAlignment="0" applyProtection="0"/>
    <xf numFmtId="0" fontId="3" fillId="3" borderId="1" applyNumberFormat="0" applyAlignment="0" applyProtection="0"/>
    <xf numFmtId="9" fontId="1" fillId="0" borderId="0" applyFont="0" applyFill="0" applyBorder="0" applyAlignment="0" applyProtection="0"/>
    <xf numFmtId="0" fontId="1" fillId="4" borderId="0" applyNumberFormat="0" applyBorder="0" applyAlignment="0" applyProtection="0"/>
    <xf numFmtId="0" fontId="7"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2" fillId="3" borderId="16" applyNumberFormat="0" applyAlignment="0" applyProtection="0"/>
    <xf numFmtId="0" fontId="1" fillId="8" borderId="0" applyNumberFormat="0" applyBorder="0" applyAlignment="0" applyProtection="0"/>
    <xf numFmtId="0" fontId="1" fillId="9" borderId="0" applyNumberFormat="0" applyBorder="0" applyAlignment="0" applyProtection="0"/>
  </cellStyleXfs>
  <cellXfs count="98">
    <xf numFmtId="0" fontId="0" fillId="0" borderId="0" xfId="0"/>
    <xf numFmtId="0" fontId="4" fillId="0" borderId="0" xfId="0" applyFont="1"/>
    <xf numFmtId="164" fontId="0" fillId="0" borderId="0" xfId="0" applyNumberFormat="1"/>
    <xf numFmtId="44" fontId="4" fillId="0" borderId="0" xfId="2" applyFont="1"/>
    <xf numFmtId="43" fontId="4" fillId="0" borderId="0" xfId="1" applyFont="1"/>
    <xf numFmtId="44" fontId="0" fillId="0" borderId="0" xfId="2" applyFont="1"/>
    <xf numFmtId="8" fontId="0" fillId="0" borderId="0" xfId="0" applyNumberFormat="1"/>
    <xf numFmtId="43" fontId="3" fillId="3" borderId="1" xfId="1" applyFont="1" applyFill="1" applyBorder="1"/>
    <xf numFmtId="43" fontId="0" fillId="0" borderId="0" xfId="1" applyFont="1"/>
    <xf numFmtId="43" fontId="2" fillId="2" borderId="1" xfId="1" applyFont="1" applyFill="1" applyBorder="1"/>
    <xf numFmtId="0" fontId="0" fillId="0" borderId="5" xfId="0" applyBorder="1"/>
    <xf numFmtId="0" fontId="0" fillId="0" borderId="6" xfId="0" applyBorder="1"/>
    <xf numFmtId="0" fontId="0" fillId="0" borderId="7" xfId="0" applyBorder="1"/>
    <xf numFmtId="0" fontId="0" fillId="0" borderId="8" xfId="0" applyBorder="1"/>
    <xf numFmtId="43" fontId="1" fillId="0" borderId="0" xfId="6" applyNumberFormat="1" applyFill="1" applyBorder="1"/>
    <xf numFmtId="43" fontId="6" fillId="0" borderId="6" xfId="0" applyNumberFormat="1" applyFont="1" applyBorder="1"/>
    <xf numFmtId="44" fontId="6" fillId="0" borderId="6" xfId="2" applyFont="1" applyBorder="1"/>
    <xf numFmtId="164" fontId="6" fillId="0" borderId="6" xfId="0" applyNumberFormat="1" applyFont="1" applyBorder="1"/>
    <xf numFmtId="0" fontId="6" fillId="0" borderId="8" xfId="0" applyFont="1" applyBorder="1" applyAlignment="1">
      <alignment horizontal="right"/>
    </xf>
    <xf numFmtId="9" fontId="6" fillId="0" borderId="9" xfId="5" applyFont="1" applyBorder="1"/>
    <xf numFmtId="0" fontId="2" fillId="2" borderId="1" xfId="3"/>
    <xf numFmtId="164" fontId="3" fillId="3" borderId="1" xfId="4" applyNumberFormat="1"/>
    <xf numFmtId="4" fontId="3" fillId="3" borderId="1" xfId="4" applyNumberFormat="1"/>
    <xf numFmtId="0" fontId="4" fillId="0" borderId="5" xfId="0" applyFont="1" applyBorder="1"/>
    <xf numFmtId="9" fontId="2" fillId="2" borderId="1" xfId="3" applyNumberFormat="1" applyAlignment="1">
      <alignment horizontal="right"/>
    </xf>
    <xf numFmtId="166" fontId="3" fillId="3" borderId="1" xfId="4" applyNumberFormat="1"/>
    <xf numFmtId="0" fontId="2" fillId="2" borderId="1" xfId="3" applyNumberFormat="1" applyAlignment="1">
      <alignment horizontal="right"/>
    </xf>
    <xf numFmtId="0" fontId="2" fillId="2" borderId="1" xfId="3" applyAlignment="1">
      <alignment horizontal="right"/>
    </xf>
    <xf numFmtId="9" fontId="2" fillId="2" borderId="1" xfId="3" applyNumberFormat="1"/>
    <xf numFmtId="0" fontId="3" fillId="3" borderId="1" xfId="4"/>
    <xf numFmtId="2" fontId="3" fillId="3" borderId="1" xfId="4" applyNumberFormat="1"/>
    <xf numFmtId="0" fontId="3" fillId="3" borderId="1" xfId="4" applyNumberFormat="1"/>
    <xf numFmtId="0" fontId="0" fillId="0" borderId="9" xfId="0" applyBorder="1"/>
    <xf numFmtId="0" fontId="4" fillId="0" borderId="0" xfId="0" applyFont="1" applyAlignment="1">
      <alignment horizontal="right"/>
    </xf>
    <xf numFmtId="0" fontId="1" fillId="6" borderId="0" xfId="8" applyBorder="1"/>
    <xf numFmtId="0" fontId="1" fillId="6" borderId="0" xfId="8" applyNumberFormat="1" applyBorder="1" applyAlignment="1">
      <alignment horizontal="right"/>
    </xf>
    <xf numFmtId="0" fontId="1" fillId="6" borderId="0" xfId="8" applyBorder="1" applyAlignment="1">
      <alignment horizontal="right"/>
    </xf>
    <xf numFmtId="165" fontId="1" fillId="6" borderId="0" xfId="8" applyNumberFormat="1" applyBorder="1"/>
    <xf numFmtId="0" fontId="4" fillId="6" borderId="0" xfId="8" applyFont="1" applyBorder="1"/>
    <xf numFmtId="0" fontId="4" fillId="6" borderId="0" xfId="8" applyFont="1" applyBorder="1" applyAlignment="1">
      <alignment horizontal="right"/>
    </xf>
    <xf numFmtId="167" fontId="2" fillId="2" borderId="1" xfId="3" applyNumberFormat="1"/>
    <xf numFmtId="0" fontId="1" fillId="6" borderId="0" xfId="8"/>
    <xf numFmtId="0" fontId="4" fillId="6" borderId="0" xfId="8" applyFont="1"/>
    <xf numFmtId="43" fontId="3" fillId="3" borderId="1" xfId="4" applyNumberFormat="1"/>
    <xf numFmtId="43" fontId="0" fillId="0" borderId="0" xfId="0" applyNumberFormat="1"/>
    <xf numFmtId="0" fontId="4" fillId="0" borderId="5" xfId="8" applyFont="1" applyFill="1" applyBorder="1"/>
    <xf numFmtId="0" fontId="4" fillId="0" borderId="6" xfId="0" applyFont="1" applyBorder="1" applyAlignment="1">
      <alignment horizontal="right"/>
    </xf>
    <xf numFmtId="43" fontId="1" fillId="0" borderId="8" xfId="6" applyNumberFormat="1" applyFill="1" applyBorder="1"/>
    <xf numFmtId="0" fontId="6" fillId="0" borderId="0" xfId="0" applyFont="1" applyAlignment="1">
      <alignment horizontal="right"/>
    </xf>
    <xf numFmtId="44" fontId="1" fillId="0" borderId="0" xfId="2" applyFill="1" applyBorder="1"/>
    <xf numFmtId="0" fontId="7" fillId="5" borderId="12" xfId="7" applyBorder="1" applyAlignment="1">
      <alignment horizontal="centerContinuous"/>
    </xf>
    <xf numFmtId="0" fontId="7" fillId="5" borderId="13" xfId="7" applyBorder="1" applyAlignment="1">
      <alignment horizontal="centerContinuous"/>
    </xf>
    <xf numFmtId="0" fontId="7" fillId="5" borderId="3" xfId="7" applyBorder="1" applyAlignment="1">
      <alignment horizontal="centerContinuous"/>
    </xf>
    <xf numFmtId="0" fontId="8" fillId="5" borderId="11" xfId="7" applyFont="1" applyBorder="1" applyAlignment="1">
      <alignment horizontal="centerContinuous" vertical="center"/>
    </xf>
    <xf numFmtId="0" fontId="8" fillId="5" borderId="2" xfId="7" applyFont="1" applyBorder="1" applyAlignment="1">
      <alignment horizontal="centerContinuous"/>
    </xf>
    <xf numFmtId="0" fontId="7" fillId="5" borderId="4" xfId="7" applyBorder="1" applyAlignment="1">
      <alignment horizontal="centerContinuous"/>
    </xf>
    <xf numFmtId="43" fontId="6" fillId="0" borderId="14" xfId="0" applyNumberFormat="1" applyFont="1" applyBorder="1"/>
    <xf numFmtId="0" fontId="9" fillId="0" borderId="5" xfId="0" applyFont="1" applyBorder="1" applyAlignment="1">
      <alignment vertical="top"/>
    </xf>
    <xf numFmtId="0" fontId="0" fillId="0" borderId="15" xfId="0" applyBorder="1"/>
    <xf numFmtId="0" fontId="0" fillId="0" borderId="10" xfId="0" applyBorder="1"/>
    <xf numFmtId="0" fontId="6" fillId="0" borderId="10" xfId="0" applyFont="1" applyBorder="1" applyAlignment="1">
      <alignment horizontal="right"/>
    </xf>
    <xf numFmtId="4" fontId="2" fillId="2" borderId="1" xfId="3" applyNumberFormat="1"/>
    <xf numFmtId="43" fontId="1" fillId="7" borderId="0" xfId="9" applyNumberFormat="1" applyBorder="1"/>
    <xf numFmtId="44" fontId="1" fillId="7" borderId="6" xfId="9" applyNumberFormat="1" applyBorder="1"/>
    <xf numFmtId="43" fontId="1" fillId="7" borderId="8" xfId="9" applyNumberFormat="1" applyBorder="1"/>
    <xf numFmtId="44" fontId="1" fillId="7" borderId="9" xfId="9" applyNumberFormat="1" applyBorder="1"/>
    <xf numFmtId="0" fontId="6" fillId="6" borderId="0" xfId="8" applyFont="1" applyBorder="1" applyAlignment="1">
      <alignment horizontal="centerContinuous"/>
    </xf>
    <xf numFmtId="0" fontId="6" fillId="6" borderId="0" xfId="8" applyFont="1" applyBorder="1" applyAlignment="1">
      <alignment horizontal="centerContinuous" vertical="center"/>
    </xf>
    <xf numFmtId="0" fontId="4" fillId="8" borderId="0" xfId="11" applyFont="1" applyAlignment="1">
      <alignment horizontal="centerContinuous"/>
    </xf>
    <xf numFmtId="0" fontId="1" fillId="8" borderId="0" xfId="11" applyAlignment="1">
      <alignment horizontal="centerContinuous"/>
    </xf>
    <xf numFmtId="0" fontId="13" fillId="5" borderId="0" xfId="7" applyFont="1" applyAlignment="1">
      <alignment horizontal="centerContinuous"/>
    </xf>
    <xf numFmtId="0" fontId="7" fillId="5" borderId="0" xfId="7" applyAlignment="1">
      <alignment horizontal="centerContinuous"/>
    </xf>
    <xf numFmtId="0" fontId="4" fillId="9" borderId="0" xfId="12" applyFont="1" applyAlignment="1">
      <alignment horizontal="center"/>
    </xf>
    <xf numFmtId="0" fontId="7" fillId="5" borderId="0" xfId="7" applyAlignment="1">
      <alignment horizontal="center"/>
    </xf>
    <xf numFmtId="0" fontId="7" fillId="5" borderId="0" xfId="7"/>
    <xf numFmtId="0" fontId="1" fillId="8" borderId="0" xfId="11"/>
    <xf numFmtId="2" fontId="0" fillId="0" borderId="0" xfId="0" applyNumberFormat="1"/>
    <xf numFmtId="168" fontId="0" fillId="0" borderId="0" xfId="0" applyNumberFormat="1"/>
    <xf numFmtId="0" fontId="1" fillId="8" borderId="0" xfId="11" applyAlignment="1">
      <alignment horizontal="center" wrapText="1"/>
    </xf>
    <xf numFmtId="0" fontId="1" fillId="8" borderId="0" xfId="11" applyAlignment="1">
      <alignment horizontal="left" wrapText="1"/>
    </xf>
    <xf numFmtId="164" fontId="12" fillId="3" borderId="16" xfId="10" applyNumberFormat="1"/>
    <xf numFmtId="0" fontId="14" fillId="2" borderId="1" xfId="3" applyFont="1"/>
    <xf numFmtId="0" fontId="1" fillId="8" borderId="0" xfId="11" applyAlignment="1">
      <alignment wrapText="1"/>
    </xf>
    <xf numFmtId="0" fontId="1" fillId="8" borderId="0" xfId="11" applyAlignment="1">
      <alignment horizontal="left" wrapText="1"/>
    </xf>
    <xf numFmtId="0" fontId="15" fillId="0" borderId="0" xfId="0" applyFont="1"/>
    <xf numFmtId="0" fontId="4" fillId="0" borderId="0" xfId="0" applyFont="1" applyAlignment="1">
      <alignment horizontal="center"/>
    </xf>
    <xf numFmtId="169" fontId="14" fillId="2" borderId="1" xfId="3" applyNumberFormat="1" applyFont="1"/>
    <xf numFmtId="2" fontId="2" fillId="2" borderId="1" xfId="3" applyNumberFormat="1"/>
    <xf numFmtId="168" fontId="2" fillId="2" borderId="1" xfId="3" applyNumberFormat="1"/>
    <xf numFmtId="14" fontId="14" fillId="2" borderId="1" xfId="3" applyNumberFormat="1" applyFont="1"/>
    <xf numFmtId="170" fontId="0" fillId="0" borderId="0" xfId="0" applyNumberFormat="1"/>
    <xf numFmtId="166" fontId="0" fillId="0" borderId="0" xfId="0" applyNumberFormat="1"/>
    <xf numFmtId="10" fontId="12" fillId="3" borderId="16" xfId="5" applyNumberFormat="1" applyFont="1" applyFill="1" applyBorder="1"/>
    <xf numFmtId="2" fontId="2" fillId="0" borderId="0" xfId="3" applyNumberFormat="1" applyFill="1" applyBorder="1"/>
    <xf numFmtId="0" fontId="2" fillId="0" borderId="0" xfId="3" applyFill="1" applyBorder="1"/>
    <xf numFmtId="168" fontId="2" fillId="0" borderId="0" xfId="3" applyNumberFormat="1" applyFill="1" applyBorder="1"/>
    <xf numFmtId="0" fontId="12" fillId="3" borderId="16" xfId="10"/>
    <xf numFmtId="168" fontId="12" fillId="3" borderId="16" xfId="10" applyNumberFormat="1"/>
  </cellXfs>
  <cellStyles count="13">
    <cellStyle name="20% - Accent3" xfId="11" builtinId="38"/>
    <cellStyle name="40% - Accent3" xfId="8" builtinId="39"/>
    <cellStyle name="40% - Accent6" xfId="9" builtinId="51"/>
    <cellStyle name="60% - Accent3" xfId="12" builtinId="40"/>
    <cellStyle name="60% - Accent6" xfId="6" builtinId="52"/>
    <cellStyle name="Accent1" xfId="7" builtinId="29"/>
    <cellStyle name="Calculation" xfId="4" builtinId="22"/>
    <cellStyle name="Comma" xfId="1" builtinId="3"/>
    <cellStyle name="Currency" xfId="2" builtinId="4"/>
    <cellStyle name="Input" xfId="3" builtinId="20"/>
    <cellStyle name="Normal" xfId="0" builtinId="0"/>
    <cellStyle name="Output" xfId="10" builtinId="21"/>
    <cellStyle name="Percent" xfId="5" builtinId="5"/>
  </cellStyles>
  <dxfs count="1">
    <dxf>
      <numFmt numFmtId="164" formatCode="_([$$-409]* #,##0.00_);_([$$-409]* \(#,##0.00\);_([$$-409]* &quot;-&quot;??_);_(@_)"/>
    </dxf>
  </dxfs>
  <tableStyles count="1" defaultTableStyle="TableStyleMedium2" defaultPivotStyle="PivotStyleLight16">
    <tableStyle name="Invisible" pivot="0" table="0" count="0" xr9:uid="{F627E321-1176-4183-9F14-87720BE4BB97}"/>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5">
  <rv s="0">
    <v>https://www.bing.com/financeapi/forcetrigger?t=a2peu2&amp;q=OTCM%3aAYASF&amp;form=skydnc</v>
    <v>Learn more on Bing</v>
  </rv>
  <rv s="1">
    <v>en-US</v>
    <v>a2peu2</v>
    <v>268435456</v>
    <v>1</v>
    <v>Powered by Refinitiv</v>
    <v>0</v>
    <v>Aya Gold &amp; Silver Inc. (OTCM:AYASF)</v>
    <v>2</v>
    <v>3</v>
    <v>Finance</v>
    <v>4</v>
    <v>8.98</v>
    <v>3.86</v>
    <v>1.3472999999999999</v>
    <v>-1.4500000000000001E-2</v>
    <v>-2.418E-2</v>
    <v>-2.4979999999999998E-3</v>
    <v>-0.14000000000000001</v>
    <v>USD</v>
    <v>Aya Gold &amp; Silver Inc. (Aya) is a Canada-based precious metals mining company, which focuses on the exploration, development, production and acquisition of precious metals mining projects. The Company is focused on producing silver and exploration activities at its flagship project, the Zgounder property. The Zgounder Silver Mine, which is an underground silver mine located 260 kilometers east of Agadir in Morocco. Aya owns 85% of Zgounder Millennium Silver Mine S.A (ZMSM), which owns the Zgounder property. The Company also owns 85% of the Boumadine polymetallic project and is the sole owner of the permits related to the Amizmiz, Azegour and Imiter Bis properties. All of these properties are located in the Kingdom of Morocco. Aya owns 75% of the Tijirit project located in Mauritania. In addition to advancing its Boumadine polymetallic project, the Company has various exploration properties located along the prolific Anti-Atlas belt that is host to Zgounder and Managem’s Imiter Mine.</v>
    <v>305</v>
    <v>OTC Markets</v>
    <v>OTCM</v>
    <v>OTCM</v>
    <v>1320 Graham, suite 132, VILLE MONT ROYAL, QC, H3P 3C8 CA</v>
    <v>5.79</v>
    <v>Metals &amp; Mining</v>
    <v>Stock</v>
    <v>44884.048611111109</v>
    <v>0</v>
    <v>5.67</v>
    <v>813814000</v>
    <v>Aya Gold &amp; Silver Inc.</v>
    <v>Aya Gold &amp; Silver Inc.</v>
    <v>5.77</v>
    <v>344.92750000000001</v>
    <v>5.8045</v>
    <v>5.79</v>
    <v>5.65</v>
    <v>104959500</v>
    <v>AYASF</v>
    <v>Aya Gold &amp; Silver Inc. (OTCM:AYASF)</v>
    <v>1701</v>
    <v>219720</v>
    <v>2007</v>
  </rv>
  <rv s="2">
    <v>1</v>
  </rv>
  <rv s="0">
    <v>https://www.bing.com/financeapi/forcetrigger?t=auvwoc&amp;q=Gold&amp;form=skydnc</v>
    <v>Learn more on Bing</v>
  </rv>
  <rv s="3">
    <v>en-US</v>
    <v>auvwoc</v>
    <v>268435456</v>
    <v>1</v>
    <v>Powered by Refinitiv</v>
    <v>5</v>
    <v>Gold</v>
    <v>6</v>
    <v>7</v>
    <v>Finance</v>
    <v>Metal</v>
    <v>-11</v>
    <v>-6.2389999999999998E-3</v>
    <v>US</v>
    <v>USD</v>
    <v>43830</v>
    <v>Future</v>
    <v>44883.943668981483</v>
    <v>3</v>
    <v>12</v>
    <v>Gold</v>
    <v>1752</v>
    <v>@GC0Y</v>
    <v>OZS</v>
    <v>Gold</v>
    <v>2019</v>
  </rv>
  <rv s="2">
    <v>4</v>
  </rv>
  <rv s="0">
    <v>https://www.bing.com/financeapi/forcetrigger?t=auvwr7&amp;q=Silver&amp;form=skydnc</v>
    <v>Learn more on Bing</v>
  </rv>
  <rv s="3">
    <v>en-US</v>
    <v>auvwr7</v>
    <v>268435456</v>
    <v>1</v>
    <v>Powered by Refinitiv</v>
    <v>5</v>
    <v>Silver</v>
    <v>6</v>
    <v>7</v>
    <v>Finance</v>
    <v>Metal</v>
    <v>0</v>
    <v>0</v>
    <v>US</v>
    <v>USD</v>
    <v>43830</v>
    <v>Future</v>
    <v>44883.943136574075</v>
    <v>6</v>
    <v>12</v>
    <v>Silver</v>
    <v>20.975000000000001</v>
    <v>@SI0Y</v>
    <v>OZS</v>
    <v>Silver</v>
    <v>2019</v>
  </rv>
  <rv s="2">
    <v>7</v>
  </rv>
  <rv s="0">
    <v>https://www.bing.com/financeapi/forcetrigger?t=auvwu2&amp;q=Platinum&amp;form=skydnc</v>
    <v>Learn more on Bing</v>
  </rv>
  <rv s="3">
    <v>en-US</v>
    <v>auvwu2</v>
    <v>268435456</v>
    <v>1</v>
    <v>Powered by Refinitiv</v>
    <v>5</v>
    <v>Platinum</v>
    <v>6</v>
    <v>7</v>
    <v>Finance</v>
    <v>Metal</v>
    <v>-5.0999999999999996</v>
    <v>-5.1439999999999993E-3</v>
    <v>US</v>
    <v>USD</v>
    <v>43861</v>
    <v>Future</v>
    <v>44883.977418981478</v>
    <v>9</v>
    <v>1</v>
    <v>Platinum</v>
    <v>986.4</v>
    <v>@PL0Y</v>
    <v>OZS</v>
    <v>Platinum</v>
    <v>2020</v>
  </rv>
  <rv s="2">
    <v>10</v>
  </rv>
  <rv s="0">
    <v>https://www.bing.com/financeapi/forcetrigger?t=a24yz2&amp;q=ARCX%3aURA&amp;form=skydnc</v>
    <v>Learn more on Bing</v>
  </rv>
  <rv s="4">
    <v>en-US</v>
    <v>a24yz2</v>
    <v>268435456</v>
    <v>1</v>
    <v>Powered by Refinitiv</v>
    <v>8</v>
    <v>Glbl X Uranium ETF (ARCX:URA)</v>
    <v>6</v>
    <v>9</v>
    <v>Finance</v>
    <v>10</v>
    <v>28.6188</v>
    <v>17.649999999999999</v>
    <v>0.9375</v>
    <v>0.04</v>
    <v>-9.7369999999999998E-4</v>
    <v>1.9530000000000001E-3</v>
    <v>-0.02</v>
    <v>USD</v>
    <v>NYSE Arca</v>
    <v>ARCX</v>
    <v>6.8999999999999999E-3</v>
    <v>20.625</v>
    <v>ETF</v>
    <v>44883.987288356249</v>
    <v>12</v>
    <v>20.28</v>
    <v>1588529600</v>
    <v>Glbl X Uranium ETF</v>
    <v>20.49</v>
    <v>20.48</v>
    <v>20.52</v>
    <v>20.52</v>
    <v>URA</v>
    <v>Glbl X Uranium ETF (ARCX:URA)</v>
    <v>1488402</v>
    <v>1691921</v>
  </rv>
  <rv s="2">
    <v>13</v>
  </rv>
</rvData>
</file>

<file path=xl/richData/rdrichvaluestructure.xml><?xml version="1.0" encoding="utf-8"?>
<rvStructures xmlns="http://schemas.microsoft.com/office/spreadsheetml/2017/richdata" count="5">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Category" t="s"/>
    <k n="Change"/>
    <k n="Change (%)"/>
    <k n="Country/region" t="s"/>
    <k n="Currency" t="s"/>
    <k n="Expiration Date"/>
    <k n="Instrument type" t="s"/>
    <k n="Last trade time"/>
    <k n="LearnMoreOnLink" t="r"/>
    <k n="Month"/>
    <k n="Name" t="s"/>
    <k n="Price"/>
    <k n="Ticker symbol" t="s"/>
    <k n="Trade Unit" t="s"/>
    <k n="UniqueName" t="s"/>
    <k n="Year"/>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26">
      <v t="s">%EntityServiceId</v>
      <v t="s">_Format</v>
      <v t="s">%IsRefreshable</v>
      <v t="s">%EntityCulture</v>
      <v t="s">%EntityId</v>
      <v t="s">_Icon</v>
      <v t="s">_Display</v>
      <v t="s">Name</v>
      <v t="s">Price</v>
      <v t="s">Last trade time</v>
      <v t="s">Ticker symbol</v>
      <v t="s">Change</v>
      <v t="s">Change (%)</v>
      <v t="s">Currency</v>
      <v t="s">Category</v>
      <v t="s">Expiration Date</v>
      <v t="s">Trade Unit</v>
      <v t="s">Year</v>
      <v t="s">Month</v>
      <v t="s">Country/region</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11">
    <spb s="0">
      <v>0</v>
      <v>Name</v>
      <v>LearnMoreOnLink</v>
    </spb>
    <spb s="1">
      <v>0</v>
      <v>0</v>
      <v>0</v>
    </spb>
    <spb s="2">
      <v>1</v>
      <v>1</v>
      <v>1</v>
      <v>1</v>
    </spb>
    <spb s="3">
      <v>1</v>
      <v>2</v>
      <v>2</v>
      <v>1</v>
      <v>3</v>
      <v>1</v>
      <v>1</v>
      <v>1</v>
      <v>4</v>
      <v>4</v>
      <v>5</v>
      <v>6</v>
      <v>1</v>
      <v>1</v>
      <v>1</v>
      <v>4</v>
      <v>7</v>
      <v>8</v>
      <v>9</v>
      <v>4</v>
      <v>1</v>
      <v>1</v>
      <v>5</v>
    </spb>
    <spb s="4">
      <v>at close</v>
      <v>from previous close</v>
      <v>from previous close</v>
      <v>GMT</v>
      <v>Delayed 15 minutes</v>
      <v>from close</v>
      <v>from close</v>
    </spb>
    <spb s="0">
      <v>1</v>
      <v>Name</v>
      <v>LearnMoreOnLink</v>
    </spb>
    <spb s="5">
      <v>1</v>
      <v>1</v>
      <v>1</v>
    </spb>
    <spb s="6">
      <v>3</v>
      <v>8</v>
      <v>8</v>
      <v>1</v>
      <v>1</v>
      <v>5</v>
      <v>10</v>
      <v>7</v>
      <v>9</v>
    </spb>
    <spb s="0">
      <v>2</v>
      <v>Name</v>
      <v>LearnMoreOnLink</v>
    </spb>
    <spb s="7">
      <v>1</v>
      <v>2</v>
      <v>1</v>
      <v>3</v>
      <v>1</v>
      <v>1</v>
      <v>1</v>
      <v>4</v>
      <v>5</v>
      <v>11</v>
      <v>1</v>
      <v>1</v>
      <v>5</v>
      <v>1</v>
      <v>4</v>
      <v>7</v>
      <v>9</v>
      <v>1</v>
      <v>1</v>
      <v>5</v>
    </spb>
    <spb s="8">
      <v>at close</v>
      <v>from previous close</v>
      <v>Source: Nasdaq Last Sale</v>
      <v>from previous close</v>
      <v>GMT</v>
      <v>Real-Time Nasdaq Last Sale</v>
      <v>from close</v>
      <v>from close</v>
    </spb>
  </spbData>
</supportingPropertyBags>
</file>

<file path=xl/richData/rdsupportingpropertybagstructure.xml><?xml version="1.0" encoding="utf-8"?>
<spbStructures xmlns="http://schemas.microsoft.com/office/spreadsheetml/2017/richdata2" count="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UniqueName" t="spb"/>
    <k n="`%ProviderInfo" t="spb"/>
    <k n="LearnMoreOnLink" t="spb"/>
  </s>
  <s>
    <k n="Name" t="i"/>
    <k n="Year" t="i"/>
    <k n="Month" t="i"/>
    <k n="Price" t="i"/>
    <k n="Change" t="i"/>
    <k n="Change (%)" t="i"/>
    <k n="Expiration Date" t="i"/>
    <k n="Last trade time" t="i"/>
    <k n="`%EntityServiceId" t="i"/>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x:dxf>
      <x:numFmt numFmtId="19" formatCode="m/d/yyyy"/>
    </x:dxf>
  </dxfs>
  <richProperties>
    <rPr n="NumberFormat" t="s"/>
    <rPr n="IsTitleField" t="b"/>
  </richProperties>
  <richStyles>
    <rSty dxfid="1">
      <rpv i="0">_([$$-en-US]* #,##0.00_);_([$$-en-US]* (#,##0.00);_([$$-en-US]* "-"??_);_(@_)</rpv>
    </rSty>
    <rSty dxfid="5">
      <rpv i="0">#,##0.00</rpv>
    </rSty>
    <rSty>
      <rpv i="1">1</rpv>
    </rSty>
    <rSty dxfid="4">
      <rpv i="0">#,##0</rpv>
    </rSty>
    <rSty dxfid="3"/>
    <rSty dxfid="1">
      <rpv i="0">_-[$$-en-CA]* #,##0_-;-[$$-en-CA]* #,##0_-;_-[$$-en-CA]* "-"_-;_-@_-</rpv>
    </rSty>
    <rSty dxfid="2"/>
    <rSty dxfid="6">
      <rpv i="0">0</rpv>
    </rSty>
    <rSty dxfid="0">
      <rpv i="0">0.00</rpv>
    </rSty>
    <rSty dxfid="7"/>
    <rSty dxfid="1">
      <rpv i="0">_([$$-en-US]* #,##0_);_([$$-en-US]* (#,##0);_([$$-en-US]*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6C643E-D581-44AF-AFD6-1C33E5DB860A}" name="resouce_type" displayName="resouce_type" ref="A1:I6" totalsRowShown="0">
  <autoFilter ref="A1:I6" xr:uid="{C26C643E-D581-44AF-AFD6-1C33E5DB860A}"/>
  <tableColumns count="9">
    <tableColumn id="1" xr3:uid="{3F826362-B565-4BD9-847D-B5C94A22DA9C}" name="Resource"/>
    <tableColumn id="9" xr3:uid="{02B195CD-2F53-4253-B340-FF99BB8A8096}" name="Ticker"/>
    <tableColumn id="2" xr3:uid="{A9797FFD-4F5C-4B80-924E-271F0CDF2DAA}" name="DecimalPlace"/>
    <tableColumn id="3" xr3:uid="{C30E7E8B-D1EF-461F-A43A-8056E9ABDBD5}" name="Spot" dataDxfId="0">
      <calculatedColumnFormula array="1">_FV(resouce_type[[#This Row],[Ticker]],"Price")</calculatedColumnFormula>
    </tableColumn>
    <tableColumn id="4" xr3:uid="{400E11B8-2BFA-49EF-BD27-8A4C9B08B615}" name="Forward1"/>
    <tableColumn id="5" xr3:uid="{CFC90D67-E7F2-4FCD-A1E7-CE6FE59A3F4D}" name="Forward2"/>
    <tableColumn id="6" xr3:uid="{1160E2B4-8C90-4AB9-85BA-0F408288651D}" name="Forward3"/>
    <tableColumn id="7" xr3:uid="{6A46A28B-D3EF-47F8-8B17-FC708110CE8B}" name="Forward4"/>
    <tableColumn id="8" xr3:uid="{7C751F55-2761-43F9-9256-2EDB64B6653C}" name="Forwar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FEA65-6C7B-4CE9-A5EF-ACB57FC35CE4}">
  <dimension ref="A1:O85"/>
  <sheetViews>
    <sheetView workbookViewId="0">
      <selection activeCell="C30" sqref="C30"/>
    </sheetView>
  </sheetViews>
  <sheetFormatPr defaultRowHeight="15" x14ac:dyDescent="0.25"/>
  <cols>
    <col min="1" max="1" width="29" customWidth="1"/>
    <col min="2" max="2" width="13.42578125" customWidth="1"/>
    <col min="3" max="3" width="21.7109375" customWidth="1"/>
    <col min="4" max="4" width="13.85546875" customWidth="1"/>
    <col min="5" max="5" width="6.140625" customWidth="1"/>
    <col min="6" max="6" width="22.28515625" customWidth="1"/>
    <col min="7" max="7" width="10.140625" customWidth="1"/>
    <col min="10" max="10" width="10.28515625" customWidth="1"/>
    <col min="11" max="11" width="12.7109375" customWidth="1"/>
    <col min="12" max="12" width="3.28515625" customWidth="1"/>
    <col min="13" max="13" width="10.5703125" customWidth="1"/>
    <col min="14" max="14" width="10.42578125" customWidth="1"/>
    <col min="15" max="15" width="13.85546875" customWidth="1"/>
  </cols>
  <sheetData>
    <row r="1" spans="1:15" ht="25.5" customHeight="1" thickBot="1" x14ac:dyDescent="0.35">
      <c r="A1" s="67" t="s">
        <v>82</v>
      </c>
      <c r="B1" s="66"/>
      <c r="C1" s="66"/>
    </row>
    <row r="2" spans="1:15" ht="18.75" x14ac:dyDescent="0.25">
      <c r="A2" s="38" t="s">
        <v>18</v>
      </c>
      <c r="B2" s="20" t="e" vm="1">
        <v>#VALUE!</v>
      </c>
      <c r="C2" s="20"/>
      <c r="F2" s="53" t="e" vm="1">
        <f>B2</f>
        <v>#VALUE!</v>
      </c>
      <c r="G2" s="50"/>
      <c r="H2" s="50"/>
      <c r="I2" s="50"/>
      <c r="J2" s="50"/>
      <c r="K2" s="51"/>
    </row>
    <row r="3" spans="1:15" ht="18.75" x14ac:dyDescent="0.3">
      <c r="A3" s="34" t="s">
        <v>19</v>
      </c>
      <c r="B3" s="21" cm="1">
        <f t="array" ref="B3">_FV(B2,"Price")</f>
        <v>5.79</v>
      </c>
      <c r="C3" s="41"/>
      <c r="F3" s="57" t="str">
        <f>C7</f>
        <v>In Millions</v>
      </c>
      <c r="J3" s="48" t="s">
        <v>54</v>
      </c>
      <c r="K3" s="15">
        <f>SUM(G19:M19)</f>
        <v>1167.2900501150034</v>
      </c>
      <c r="N3" t="s">
        <v>83</v>
      </c>
    </row>
    <row r="4" spans="1:15" ht="18.75" x14ac:dyDescent="0.3">
      <c r="A4" s="34" t="s">
        <v>20</v>
      </c>
      <c r="B4" s="22" cm="1">
        <f t="array" ref="B4">_FV(B2,"Shares outstanding",TRUE)/1000000</f>
        <v>104.95950000000001</v>
      </c>
      <c r="C4" s="41"/>
      <c r="F4" s="10"/>
      <c r="J4" s="48" t="s">
        <v>73</v>
      </c>
      <c r="K4" s="56">
        <f>AL_Adjust</f>
        <v>149</v>
      </c>
    </row>
    <row r="5" spans="1:15" ht="15" customHeight="1" x14ac:dyDescent="0.3">
      <c r="A5" s="34" t="s">
        <v>78</v>
      </c>
      <c r="B5" s="61">
        <v>10.7</v>
      </c>
      <c r="C5" s="41"/>
      <c r="F5" s="10"/>
      <c r="J5" s="48"/>
      <c r="K5" s="56"/>
    </row>
    <row r="6" spans="1:15" ht="17.25" customHeight="1" thickBot="1" x14ac:dyDescent="0.35">
      <c r="A6" s="34" t="s">
        <v>74</v>
      </c>
      <c r="B6" s="20">
        <v>149</v>
      </c>
      <c r="C6" s="34"/>
      <c r="F6" s="58"/>
      <c r="G6" s="59"/>
      <c r="H6" s="59"/>
      <c r="I6" s="59"/>
      <c r="J6" s="60" t="s">
        <v>75</v>
      </c>
      <c r="K6" s="56">
        <f>K3+K4</f>
        <v>1316.2900501150034</v>
      </c>
    </row>
    <row r="7" spans="1:15" ht="18.75" customHeight="1" x14ac:dyDescent="0.3">
      <c r="A7" s="34" t="s">
        <v>21</v>
      </c>
      <c r="B7" s="22" cm="1">
        <f t="array" ref="B7">_FV(B2,"Market cap",TRUE)/1000000</f>
        <v>813.81399999999996</v>
      </c>
      <c r="C7" s="34" t="s">
        <v>76</v>
      </c>
      <c r="F7" s="10"/>
      <c r="J7" s="48" t="s">
        <v>55</v>
      </c>
      <c r="K7" s="16">
        <f>K6/($B$4+$B$5)</f>
        <v>11.38073439808233</v>
      </c>
      <c r="M7" s="54" t="s">
        <v>79</v>
      </c>
      <c r="N7" s="52"/>
      <c r="O7" s="55"/>
    </row>
    <row r="8" spans="1:15" ht="18.75" x14ac:dyDescent="0.3">
      <c r="A8" s="38" t="s">
        <v>4</v>
      </c>
      <c r="B8" s="34"/>
      <c r="C8" s="34"/>
      <c r="F8" s="10"/>
      <c r="J8" s="48" t="s">
        <v>19</v>
      </c>
      <c r="K8" s="17" cm="1">
        <f t="array" ref="K8">_FV(B2,"Price")</f>
        <v>5.79</v>
      </c>
      <c r="M8" s="10" t="s">
        <v>80</v>
      </c>
      <c r="O8" s="11"/>
    </row>
    <row r="9" spans="1:15" ht="17.25" customHeight="1" x14ac:dyDescent="0.3">
      <c r="A9" s="34" t="s">
        <v>23</v>
      </c>
      <c r="B9" s="34"/>
      <c r="C9" s="34"/>
      <c r="F9" s="10"/>
      <c r="J9" s="48" t="s">
        <v>57</v>
      </c>
      <c r="K9" s="17">
        <f>K8-K7</f>
        <v>-5.5907343980823301</v>
      </c>
      <c r="M9" s="10" t="str">
        <f>discrate&amp;" Discount Rate"</f>
        <v>0.05 Discount Rate</v>
      </c>
      <c r="O9" s="11"/>
    </row>
    <row r="10" spans="1:15" ht="19.5" thickBot="1" x14ac:dyDescent="0.35">
      <c r="A10" s="34" t="s">
        <v>22</v>
      </c>
      <c r="B10" s="24">
        <v>0.05</v>
      </c>
      <c r="C10" s="25">
        <f>1/(1+discrate)</f>
        <v>0.95238095238095233</v>
      </c>
      <c r="F10" s="12"/>
      <c r="G10" s="13"/>
      <c r="H10" s="13"/>
      <c r="I10" s="13"/>
      <c r="J10" s="18" t="s">
        <v>58</v>
      </c>
      <c r="K10" s="19">
        <f>K8/K7</f>
        <v>0.5087545142056582</v>
      </c>
      <c r="M10" s="12" t="s">
        <v>81</v>
      </c>
      <c r="N10" s="13"/>
      <c r="O10" s="32"/>
    </row>
    <row r="11" spans="1:15" ht="15.75" thickBot="1" x14ac:dyDescent="0.3">
      <c r="A11" s="34" t="s">
        <v>64</v>
      </c>
      <c r="B11" s="26">
        <v>2022</v>
      </c>
      <c r="C11" s="34"/>
    </row>
    <row r="12" spans="1:15" ht="18.75" x14ac:dyDescent="0.3">
      <c r="A12" s="34"/>
      <c r="B12" s="35"/>
      <c r="C12" s="34"/>
      <c r="F12" s="54" t="s">
        <v>72</v>
      </c>
      <c r="G12" s="52"/>
      <c r="H12" s="52"/>
      <c r="I12" s="52"/>
      <c r="J12" s="52"/>
      <c r="K12" s="52"/>
      <c r="L12" s="52"/>
      <c r="M12" s="52"/>
      <c r="N12" s="52"/>
      <c r="O12" s="55"/>
    </row>
    <row r="13" spans="1:15" x14ac:dyDescent="0.25">
      <c r="A13" s="42" t="s">
        <v>62</v>
      </c>
      <c r="B13" s="42" t="s">
        <v>61</v>
      </c>
      <c r="C13" s="42" t="s">
        <v>60</v>
      </c>
      <c r="F13" s="45" t="s">
        <v>65</v>
      </c>
      <c r="G13" s="33" t="s">
        <v>66</v>
      </c>
      <c r="H13" s="33" t="s">
        <v>67</v>
      </c>
      <c r="I13" s="33" t="s">
        <v>68</v>
      </c>
      <c r="J13" s="33" t="s">
        <v>69</v>
      </c>
      <c r="K13" s="33" t="s">
        <v>70</v>
      </c>
      <c r="M13" s="33" t="s">
        <v>52</v>
      </c>
      <c r="N13" s="33" t="s">
        <v>71</v>
      </c>
      <c r="O13" s="46" t="s">
        <v>31</v>
      </c>
    </row>
    <row r="14" spans="1:15" ht="17.25" customHeight="1" x14ac:dyDescent="0.25">
      <c r="A14" s="34" t="str">
        <f>F14</f>
        <v>Zgounder</v>
      </c>
      <c r="B14" s="20"/>
      <c r="C14" s="20">
        <v>1</v>
      </c>
      <c r="F14" s="10" t="str">
        <f>B24</f>
        <v>Zgounder</v>
      </c>
      <c r="G14" s="62">
        <f>G35</f>
        <v>13.872</v>
      </c>
      <c r="H14" s="62">
        <f t="shared" ref="H14:K14" si="0">H35</f>
        <v>14.595714285714283</v>
      </c>
      <c r="I14" s="62">
        <f t="shared" si="0"/>
        <v>71.619047619047606</v>
      </c>
      <c r="J14" s="62">
        <f t="shared" si="0"/>
        <v>70.109059496814609</v>
      </c>
      <c r="K14" s="62">
        <f t="shared" si="0"/>
        <v>72.628174474627315</v>
      </c>
      <c r="M14" s="62">
        <f>M35</f>
        <v>924.46605423879953</v>
      </c>
      <c r="N14" s="62">
        <f>(SUM(G14:M14)-B14)*C14</f>
        <v>1167.2900501150034</v>
      </c>
      <c r="O14" s="63">
        <f>N14/($B$4+$B$5)</f>
        <v>10.09247013963404</v>
      </c>
    </row>
    <row r="15" spans="1:15" x14ac:dyDescent="0.25">
      <c r="A15" s="34" t="str">
        <f>F15</f>
        <v>Asset2</v>
      </c>
      <c r="B15" s="20"/>
      <c r="C15" s="20">
        <v>1</v>
      </c>
      <c r="F15" s="10" t="str">
        <f>B46</f>
        <v>Asset2</v>
      </c>
      <c r="G15" s="62">
        <f>G57</f>
        <v>0</v>
      </c>
      <c r="H15" s="62">
        <f t="shared" ref="H15:K15" si="1">H57</f>
        <v>0</v>
      </c>
      <c r="I15" s="62">
        <f t="shared" si="1"/>
        <v>0</v>
      </c>
      <c r="J15" s="62">
        <f t="shared" si="1"/>
        <v>0</v>
      </c>
      <c r="K15" s="62">
        <f t="shared" si="1"/>
        <v>0</v>
      </c>
      <c r="M15" s="62">
        <f>IF(ISERROR(M57),0,M57)</f>
        <v>0</v>
      </c>
      <c r="N15" s="62">
        <f t="shared" ref="N15:N16" si="2">(SUM(G15:M15)-B15)*C15</f>
        <v>0</v>
      </c>
      <c r="O15" s="63">
        <f t="shared" ref="O15:O16" si="3">N15/($B$4+$B$5)</f>
        <v>0</v>
      </c>
    </row>
    <row r="16" spans="1:15" x14ac:dyDescent="0.25">
      <c r="A16" s="34" t="str">
        <f>F16</f>
        <v>Asset3</v>
      </c>
      <c r="B16" s="20"/>
      <c r="C16" s="20">
        <v>1</v>
      </c>
      <c r="F16" s="10" t="str">
        <f>B68</f>
        <v>Asset3</v>
      </c>
      <c r="G16" s="62">
        <f>G79</f>
        <v>0</v>
      </c>
      <c r="H16" s="62">
        <f t="shared" ref="H16:K16" si="4">H79</f>
        <v>0</v>
      </c>
      <c r="I16" s="62">
        <f t="shared" si="4"/>
        <v>0</v>
      </c>
      <c r="J16" s="62">
        <f t="shared" si="4"/>
        <v>0</v>
      </c>
      <c r="K16" s="62">
        <f t="shared" si="4"/>
        <v>0</v>
      </c>
      <c r="M16" s="62">
        <f>IF(ISERROR(M58),0,M58)</f>
        <v>0</v>
      </c>
      <c r="N16" s="62">
        <f t="shared" si="2"/>
        <v>0</v>
      </c>
      <c r="O16" s="63">
        <f t="shared" si="3"/>
        <v>0</v>
      </c>
    </row>
    <row r="17" spans="1:15" ht="9" customHeight="1" x14ac:dyDescent="0.25">
      <c r="A17" s="34"/>
      <c r="B17" s="34"/>
      <c r="C17" s="34"/>
      <c r="F17" s="10"/>
      <c r="O17" s="11"/>
    </row>
    <row r="18" spans="1:15" x14ac:dyDescent="0.25">
      <c r="A18" s="34"/>
      <c r="B18" s="34"/>
      <c r="C18" s="34"/>
      <c r="F18" s="23" t="s">
        <v>63</v>
      </c>
      <c r="G18" s="44"/>
      <c r="H18" s="44"/>
      <c r="I18" s="44"/>
      <c r="J18" s="44"/>
      <c r="K18" s="44"/>
      <c r="L18" s="44"/>
      <c r="M18" s="44"/>
      <c r="O18" s="11"/>
    </row>
    <row r="19" spans="1:15" ht="15.75" thickBot="1" x14ac:dyDescent="0.3">
      <c r="A19" s="34"/>
      <c r="B19" s="34"/>
      <c r="C19" s="34"/>
      <c r="F19" s="12" t="s">
        <v>53</v>
      </c>
      <c r="G19" s="64">
        <f>SUM(G14:G16)</f>
        <v>13.872</v>
      </c>
      <c r="H19" s="64">
        <f>SUM(H14:H16)</f>
        <v>14.595714285714283</v>
      </c>
      <c r="I19" s="64">
        <f>SUM(I14:I16)</f>
        <v>71.619047619047606</v>
      </c>
      <c r="J19" s="64">
        <f>SUM(J14:J16)</f>
        <v>70.109059496814609</v>
      </c>
      <c r="K19" s="64">
        <f>SUM(K14:K16)</f>
        <v>72.628174474627315</v>
      </c>
      <c r="L19" s="47"/>
      <c r="M19" s="64">
        <f>SUM(M13:M18)</f>
        <v>924.46605423879953</v>
      </c>
      <c r="N19" s="64">
        <f>SUM(N14:N16)</f>
        <v>1167.2900501150034</v>
      </c>
      <c r="O19" s="65">
        <f>SUM(O14:O16)</f>
        <v>10.09247013963404</v>
      </c>
    </row>
    <row r="20" spans="1:15" x14ac:dyDescent="0.25">
      <c r="A20" s="34"/>
      <c r="B20" s="34"/>
      <c r="C20" s="34"/>
      <c r="G20" s="14"/>
      <c r="H20" s="14"/>
      <c r="I20" s="14"/>
      <c r="J20" s="14"/>
      <c r="K20" s="14"/>
      <c r="L20" s="14"/>
      <c r="M20" s="14"/>
      <c r="N20" s="14"/>
      <c r="O20" s="49"/>
    </row>
    <row r="21" spans="1:15" x14ac:dyDescent="0.25">
      <c r="A21" s="34"/>
      <c r="B21" s="34"/>
      <c r="C21" s="34"/>
      <c r="G21" s="14"/>
      <c r="H21" s="14"/>
      <c r="I21" s="14"/>
      <c r="J21" s="14"/>
      <c r="K21" s="14"/>
      <c r="L21" s="14"/>
      <c r="M21" s="14"/>
      <c r="N21" s="14"/>
      <c r="O21" s="49"/>
    </row>
    <row r="22" spans="1:15" x14ac:dyDescent="0.25">
      <c r="A22" s="34"/>
      <c r="B22" s="34"/>
      <c r="C22" s="34"/>
      <c r="G22" s="14"/>
      <c r="H22" s="14"/>
      <c r="I22" s="14"/>
      <c r="J22" s="14"/>
      <c r="K22" s="14"/>
      <c r="L22" s="14"/>
      <c r="M22" s="14"/>
      <c r="N22" s="14"/>
      <c r="O22" s="49"/>
    </row>
    <row r="23" spans="1:15" x14ac:dyDescent="0.25">
      <c r="A23" s="38" t="s">
        <v>49</v>
      </c>
      <c r="B23" s="39" t="s">
        <v>0</v>
      </c>
      <c r="C23" s="39" t="s">
        <v>13</v>
      </c>
    </row>
    <row r="24" spans="1:15" x14ac:dyDescent="0.25">
      <c r="A24" s="34" t="s">
        <v>1</v>
      </c>
      <c r="B24" s="27" t="s">
        <v>12</v>
      </c>
      <c r="C24" s="34"/>
      <c r="G24">
        <f>startyear</f>
        <v>2022</v>
      </c>
      <c r="H24">
        <f>G24+1</f>
        <v>2023</v>
      </c>
      <c r="I24">
        <f>H24+1</f>
        <v>2024</v>
      </c>
      <c r="J24">
        <f t="shared" ref="J24:K24" si="5">I24+1</f>
        <v>2025</v>
      </c>
      <c r="K24">
        <f t="shared" si="5"/>
        <v>2026</v>
      </c>
      <c r="M24" t="s">
        <v>26</v>
      </c>
    </row>
    <row r="25" spans="1:15" x14ac:dyDescent="0.25">
      <c r="A25" s="34"/>
      <c r="B25" s="34"/>
      <c r="C25" s="34"/>
      <c r="F25" t="s">
        <v>41</v>
      </c>
      <c r="G25" s="9">
        <f>VLOOKUP(B26,resouce_type[],5,FALSE)</f>
        <v>20.99</v>
      </c>
      <c r="H25" s="9">
        <f>VLOOKUP(B26,resouce_type[],6,FALSE)</f>
        <v>21.844999999999999</v>
      </c>
      <c r="I25" s="9">
        <f>VLOOKUP(B26,resouce_type[],7,FALSE)</f>
        <v>22.7</v>
      </c>
      <c r="J25" s="9">
        <f>VLOOKUP(B26,resouce_type[],8,FALSE)</f>
        <v>22.975000000000001</v>
      </c>
      <c r="K25" s="9">
        <f>VLOOKUP(B26,resouce_type[],9,FALSE)</f>
        <v>23.864999999999998</v>
      </c>
      <c r="L25" s="8"/>
      <c r="M25" s="7">
        <f>IF(t_asset_price1="",K25,t_asset_price1)</f>
        <v>35</v>
      </c>
    </row>
    <row r="26" spans="1:15" x14ac:dyDescent="0.25">
      <c r="A26" s="34" t="s">
        <v>5</v>
      </c>
      <c r="B26" s="27" t="s">
        <v>7</v>
      </c>
      <c r="C26" s="36" t="str">
        <f>VLOOKUP(B26,resouce_type[],3,FALSE)</f>
        <v>Moz</v>
      </c>
      <c r="G26" s="8"/>
      <c r="H26" s="8"/>
      <c r="I26" s="8"/>
      <c r="J26" s="8"/>
      <c r="K26" s="8"/>
      <c r="L26" s="8"/>
      <c r="M26" s="8"/>
    </row>
    <row r="27" spans="1:15" x14ac:dyDescent="0.25">
      <c r="A27" s="34" t="s">
        <v>14</v>
      </c>
      <c r="B27" s="20"/>
      <c r="C27" s="28">
        <v>0</v>
      </c>
      <c r="F27" t="str">
        <f>"Annual Production "&amp;C26</f>
        <v>Annual Production Moz</v>
      </c>
      <c r="G27" s="9">
        <v>1.7</v>
      </c>
      <c r="H27" s="9">
        <v>1.7</v>
      </c>
      <c r="I27" s="9">
        <v>8</v>
      </c>
      <c r="J27" s="9">
        <v>8</v>
      </c>
      <c r="K27" s="9">
        <v>8</v>
      </c>
      <c r="L27" s="8"/>
      <c r="M27" s="7">
        <f>B40</f>
        <v>8</v>
      </c>
    </row>
    <row r="28" spans="1:15" ht="15.75" customHeight="1" x14ac:dyDescent="0.25">
      <c r="A28" s="34" t="s">
        <v>2</v>
      </c>
      <c r="B28" s="20">
        <v>100</v>
      </c>
      <c r="C28" s="28">
        <v>0.83</v>
      </c>
      <c r="F28" t="s">
        <v>25</v>
      </c>
      <c r="G28" s="9">
        <v>12.83</v>
      </c>
      <c r="H28" s="9">
        <v>12.83</v>
      </c>
      <c r="I28" s="9">
        <v>12.83</v>
      </c>
      <c r="J28" s="9">
        <v>12.83</v>
      </c>
      <c r="K28" s="9">
        <v>12.83</v>
      </c>
      <c r="L28" s="8"/>
      <c r="M28" s="7">
        <f>B38</f>
        <v>13</v>
      </c>
    </row>
    <row r="29" spans="1:15" x14ac:dyDescent="0.25">
      <c r="A29" s="34" t="s">
        <v>3</v>
      </c>
      <c r="B29" s="20">
        <v>25</v>
      </c>
      <c r="C29" s="28">
        <v>0.2</v>
      </c>
    </row>
    <row r="30" spans="1:15" x14ac:dyDescent="0.25">
      <c r="A30" s="34"/>
      <c r="B30" s="34"/>
      <c r="C30" s="34"/>
      <c r="F30" t="s">
        <v>24</v>
      </c>
      <c r="G30" s="7">
        <f>G27*G25</f>
        <v>35.683</v>
      </c>
      <c r="H30" s="7">
        <f>IF(H27="",$G$27,H27)*IF(H25="",$G$25,H25)</f>
        <v>37.136499999999998</v>
      </c>
      <c r="I30" s="7">
        <f>IF(I27="",$G$27,I27)*IF(I25="",$G$25,I25)</f>
        <v>181.6</v>
      </c>
      <c r="J30" s="7">
        <f>IF(J27="",$G$27,J27)*IF(J25="",$G$25,J25)</f>
        <v>183.8</v>
      </c>
      <c r="K30" s="7">
        <f>IF(K27="",$G$27,K27)*IF(K25="",$G$25,K25)</f>
        <v>190.92</v>
      </c>
      <c r="M30" s="7">
        <f>M25*t_remaining1</f>
        <v>2121</v>
      </c>
    </row>
    <row r="31" spans="1:15" x14ac:dyDescent="0.25">
      <c r="A31" s="34" t="s">
        <v>6</v>
      </c>
      <c r="B31" s="29">
        <f>SUMPRODUCT($B$28:$B$29,$C$28:$C$29)</f>
        <v>88</v>
      </c>
      <c r="C31" s="34" t="str">
        <f>C26</f>
        <v>Moz</v>
      </c>
      <c r="F31" t="s">
        <v>27</v>
      </c>
      <c r="G31" s="7">
        <f>G27*G28</f>
        <v>21.811</v>
      </c>
      <c r="H31" s="7">
        <f>IF(H27="",$G$27,H27)*IF(H28="",$G$28,H28)</f>
        <v>21.811</v>
      </c>
      <c r="I31" s="7">
        <f>IF(I27="",$G$27,I27)*IF(I28="",$G$28,I28)</f>
        <v>102.64</v>
      </c>
      <c r="J31" s="7">
        <f>IF(J27="",$G$27,J27)*IF(J28="",$G$28,J28)</f>
        <v>102.64</v>
      </c>
      <c r="K31" s="7">
        <f>IF(K27="",$G$27,K27)*IF(K28="",$G$28,K28)</f>
        <v>102.64</v>
      </c>
      <c r="M31" s="7">
        <f>M28*t_remaining1</f>
        <v>787.80000000000007</v>
      </c>
    </row>
    <row r="32" spans="1:15" ht="8.25" customHeight="1" x14ac:dyDescent="0.25">
      <c r="A32" s="34"/>
      <c r="B32" s="34"/>
      <c r="C32" s="34"/>
      <c r="G32" s="8"/>
      <c r="H32" s="8"/>
      <c r="I32" s="8"/>
      <c r="J32" s="8"/>
      <c r="K32" s="8"/>
    </row>
    <row r="33" spans="1:13" x14ac:dyDescent="0.25">
      <c r="A33" s="34" t="s">
        <v>32</v>
      </c>
      <c r="B33" s="30">
        <f>B31/G27</f>
        <v>51.764705882352942</v>
      </c>
      <c r="C33" s="34" t="s">
        <v>33</v>
      </c>
      <c r="F33" t="s">
        <v>28</v>
      </c>
      <c r="G33" s="7">
        <f>G30-G31</f>
        <v>13.872</v>
      </c>
      <c r="H33" s="7">
        <f>H30-H31</f>
        <v>15.325499999999998</v>
      </c>
      <c r="I33" s="7">
        <f t="shared" ref="I33:K33" si="6">I30-I31</f>
        <v>78.959999999999994</v>
      </c>
      <c r="J33" s="7">
        <f t="shared" si="6"/>
        <v>81.160000000000011</v>
      </c>
      <c r="K33" s="7">
        <f t="shared" si="6"/>
        <v>88.279999999999987</v>
      </c>
      <c r="M33" s="43">
        <f>M30-M31</f>
        <v>1333.1999999999998</v>
      </c>
    </row>
    <row r="34" spans="1:13" ht="7.5" customHeight="1" x14ac:dyDescent="0.25">
      <c r="A34" s="34"/>
      <c r="B34" s="34"/>
      <c r="C34" s="37"/>
      <c r="G34" s="8"/>
      <c r="H34" s="8"/>
      <c r="I34" s="8"/>
      <c r="J34" s="8"/>
      <c r="K34" s="8"/>
    </row>
    <row r="35" spans="1:13" x14ac:dyDescent="0.25">
      <c r="A35" s="38" t="s">
        <v>47</v>
      </c>
      <c r="B35" s="34"/>
      <c r="C35" s="37"/>
      <c r="F35" t="s">
        <v>29</v>
      </c>
      <c r="G35" s="7">
        <f>G33</f>
        <v>13.872</v>
      </c>
      <c r="H35" s="7">
        <f>H33*discfactor</f>
        <v>14.595714285714283</v>
      </c>
      <c r="I35" s="7">
        <f>I33*discfactor^2</f>
        <v>71.619047619047606</v>
      </c>
      <c r="J35" s="7">
        <f>J33*discfactor^3</f>
        <v>70.109059496814609</v>
      </c>
      <c r="K35" s="7">
        <f>K33*discfactor^4</f>
        <v>72.628174474627315</v>
      </c>
      <c r="M35" s="7">
        <f>PV(discrate,t_years1,-M27*(M25-M28),0)*t_recovery1</f>
        <v>924.46605423879953</v>
      </c>
    </row>
    <row r="36" spans="1:13" ht="15" customHeight="1" x14ac:dyDescent="0.25">
      <c r="A36" s="34" t="s">
        <v>48</v>
      </c>
      <c r="B36" s="20">
        <v>35</v>
      </c>
      <c r="C36" s="34"/>
    </row>
    <row r="37" spans="1:13" x14ac:dyDescent="0.25">
      <c r="A37" s="34" t="s">
        <v>42</v>
      </c>
      <c r="B37" s="28">
        <v>0.85</v>
      </c>
      <c r="C37" s="34"/>
      <c r="F37" s="1" t="s">
        <v>30</v>
      </c>
      <c r="G37" s="4">
        <f>SUM(G35:M35)</f>
        <v>1167.2900501150034</v>
      </c>
      <c r="H37" s="1" t="str">
        <f>B24</f>
        <v>Zgounder</v>
      </c>
    </row>
    <row r="38" spans="1:13" x14ac:dyDescent="0.25">
      <c r="A38" s="34" t="s">
        <v>43</v>
      </c>
      <c r="B38" s="20">
        <v>13</v>
      </c>
      <c r="C38" s="34"/>
      <c r="F38" s="1" t="s">
        <v>31</v>
      </c>
      <c r="G38" s="3">
        <f>G37/B4</f>
        <v>11.121337755181793</v>
      </c>
    </row>
    <row r="39" spans="1:13" x14ac:dyDescent="0.25">
      <c r="A39" s="34" t="s">
        <v>44</v>
      </c>
      <c r="B39" s="20">
        <f>B31-SUM(G27:K27)</f>
        <v>60.6</v>
      </c>
      <c r="C39" s="34"/>
    </row>
    <row r="40" spans="1:13" x14ac:dyDescent="0.25">
      <c r="A40" s="34" t="s">
        <v>45</v>
      </c>
      <c r="B40" s="20">
        <v>8</v>
      </c>
      <c r="C40" s="34"/>
    </row>
    <row r="41" spans="1:13" x14ac:dyDescent="0.25">
      <c r="A41" s="34" t="s">
        <v>46</v>
      </c>
      <c r="B41" s="40">
        <f>B39/B40</f>
        <v>7.5750000000000002</v>
      </c>
      <c r="C41" s="34"/>
      <c r="F41" s="6"/>
    </row>
    <row r="42" spans="1:13" x14ac:dyDescent="0.25">
      <c r="A42" s="34"/>
      <c r="B42" s="34"/>
      <c r="C42" s="34"/>
    </row>
    <row r="43" spans="1:13" x14ac:dyDescent="0.25">
      <c r="A43" s="34"/>
      <c r="B43" s="34"/>
      <c r="C43" s="34"/>
    </row>
    <row r="44" spans="1:13" x14ac:dyDescent="0.25">
      <c r="A44" s="34"/>
      <c r="B44" s="34"/>
      <c r="C44" s="34"/>
    </row>
    <row r="45" spans="1:13" x14ac:dyDescent="0.25">
      <c r="A45" s="38" t="s">
        <v>50</v>
      </c>
      <c r="B45" s="39" t="s">
        <v>0</v>
      </c>
      <c r="C45" s="39" t="s">
        <v>13</v>
      </c>
    </row>
    <row r="46" spans="1:13" x14ac:dyDescent="0.25">
      <c r="A46" s="34" t="s">
        <v>1</v>
      </c>
      <c r="B46" s="27" t="s">
        <v>56</v>
      </c>
      <c r="C46" s="34"/>
      <c r="G46">
        <f>startyear</f>
        <v>2022</v>
      </c>
      <c r="H46">
        <f>G46+1</f>
        <v>2023</v>
      </c>
      <c r="I46">
        <f>H46+1</f>
        <v>2024</v>
      </c>
      <c r="J46">
        <f t="shared" ref="J46" si="7">I46+1</f>
        <v>2025</v>
      </c>
      <c r="K46">
        <f t="shared" ref="K46" si="8">J46+1</f>
        <v>2026</v>
      </c>
      <c r="M46" t="s">
        <v>26</v>
      </c>
    </row>
    <row r="47" spans="1:13" x14ac:dyDescent="0.25">
      <c r="A47" s="34"/>
      <c r="B47" s="34"/>
      <c r="C47" s="34"/>
      <c r="F47" t="s">
        <v>41</v>
      </c>
      <c r="G47" s="9">
        <f>VLOOKUP(B48,resouce_type[],5,FALSE)</f>
        <v>20.99</v>
      </c>
      <c r="H47" s="9">
        <f>VLOOKUP(B48,resouce_type[],6,FALSE)</f>
        <v>21.844999999999999</v>
      </c>
      <c r="I47" s="9">
        <f>VLOOKUP(B48,resouce_type[],7,FALSE)</f>
        <v>22.7</v>
      </c>
      <c r="J47" s="9">
        <f>VLOOKUP(B48,resouce_type[],8,FALSE)</f>
        <v>22.975000000000001</v>
      </c>
      <c r="K47" s="9">
        <f>VLOOKUP(B48,resouce_type[],9,FALSE)</f>
        <v>23.864999999999998</v>
      </c>
      <c r="L47" s="8"/>
      <c r="M47" s="7">
        <f>IF(t_asset_price2="",K47,t_asset_price2)</f>
        <v>0</v>
      </c>
    </row>
    <row r="48" spans="1:13" x14ac:dyDescent="0.25">
      <c r="A48" s="34" t="s">
        <v>5</v>
      </c>
      <c r="B48" s="27" t="s">
        <v>7</v>
      </c>
      <c r="C48" s="36" t="str">
        <f>VLOOKUP(B48,resouce_type[],3,FALSE)</f>
        <v>Moz</v>
      </c>
      <c r="G48" s="8"/>
      <c r="H48" s="8"/>
      <c r="I48" s="8"/>
      <c r="J48" s="8"/>
      <c r="K48" s="8"/>
      <c r="L48" s="8"/>
      <c r="M48" s="8"/>
    </row>
    <row r="49" spans="1:13" x14ac:dyDescent="0.25">
      <c r="A49" s="34" t="s">
        <v>14</v>
      </c>
      <c r="B49" s="20"/>
      <c r="C49" s="28">
        <v>0</v>
      </c>
      <c r="F49" t="str">
        <f>"Annual Production "&amp;C48</f>
        <v>Annual Production Moz</v>
      </c>
      <c r="G49" s="9"/>
      <c r="H49" s="9"/>
      <c r="I49" s="9"/>
      <c r="J49" s="9"/>
      <c r="K49" s="9"/>
      <c r="L49" s="8"/>
      <c r="M49" s="7">
        <f>B62</f>
        <v>0</v>
      </c>
    </row>
    <row r="50" spans="1:13" x14ac:dyDescent="0.25">
      <c r="A50" s="34" t="s">
        <v>2</v>
      </c>
      <c r="B50" s="20">
        <v>0</v>
      </c>
      <c r="C50" s="28">
        <v>1</v>
      </c>
      <c r="F50" t="s">
        <v>25</v>
      </c>
      <c r="G50" s="9"/>
      <c r="H50" s="9"/>
      <c r="I50" s="9"/>
      <c r="J50" s="9"/>
      <c r="K50" s="9"/>
      <c r="L50" s="8"/>
      <c r="M50" s="7">
        <f>B60</f>
        <v>0</v>
      </c>
    </row>
    <row r="51" spans="1:13" x14ac:dyDescent="0.25">
      <c r="A51" s="34" t="s">
        <v>3</v>
      </c>
      <c r="B51" s="20">
        <v>0</v>
      </c>
      <c r="C51" s="28">
        <v>1</v>
      </c>
    </row>
    <row r="52" spans="1:13" x14ac:dyDescent="0.25">
      <c r="A52" s="34"/>
      <c r="B52" s="34"/>
      <c r="C52" s="34"/>
      <c r="F52" t="s">
        <v>24</v>
      </c>
      <c r="G52" s="7">
        <f>G49*G47</f>
        <v>0</v>
      </c>
      <c r="H52" s="7">
        <f>IF(H49="",$G$49,H49)*IF(H47="",$G$47,H47)</f>
        <v>0</v>
      </c>
      <c r="I52" s="7">
        <f>IF(I49="",$G$49,I49)*IF(I47="",$G$47,I47)</f>
        <v>0</v>
      </c>
      <c r="J52" s="7">
        <f t="shared" ref="J52:K52" si="9">IF(J49="",$G$49,J49)*IF(J47="",$G$47,J47)</f>
        <v>0</v>
      </c>
      <c r="K52" s="7">
        <f t="shared" si="9"/>
        <v>0</v>
      </c>
      <c r="M52" s="7">
        <f>M47*t_remaining2</f>
        <v>0</v>
      </c>
    </row>
    <row r="53" spans="1:13" x14ac:dyDescent="0.25">
      <c r="A53" s="34" t="s">
        <v>6</v>
      </c>
      <c r="B53" s="29">
        <f>SUMPRODUCT($B$50:$B$51,$C$50:$C$51)</f>
        <v>0</v>
      </c>
      <c r="C53" s="34" t="str">
        <f>C48</f>
        <v>Moz</v>
      </c>
      <c r="F53" t="s">
        <v>27</v>
      </c>
      <c r="G53" s="7">
        <f>G49*G50</f>
        <v>0</v>
      </c>
      <c r="H53" s="7">
        <f>IF(H49="",$G$49,H49)*IF(H50="",$G$50,H50)</f>
        <v>0</v>
      </c>
      <c r="I53" s="7">
        <f t="shared" ref="I53:K53" si="10">IF(I49="",$G$49,I49)*IF(I50="",$G$50,I50)</f>
        <v>0</v>
      </c>
      <c r="J53" s="7">
        <f t="shared" si="10"/>
        <v>0</v>
      </c>
      <c r="K53" s="7">
        <f t="shared" si="10"/>
        <v>0</v>
      </c>
      <c r="M53" s="7">
        <f>M50*t_remaining2</f>
        <v>0</v>
      </c>
    </row>
    <row r="54" spans="1:13" x14ac:dyDescent="0.25">
      <c r="A54" s="34"/>
      <c r="B54" s="34"/>
      <c r="C54" s="34"/>
      <c r="G54" s="8"/>
      <c r="H54" s="8"/>
      <c r="I54" s="8"/>
      <c r="J54" s="8"/>
      <c r="K54" s="8"/>
    </row>
    <row r="55" spans="1:13" x14ac:dyDescent="0.25">
      <c r="A55" s="34" t="s">
        <v>32</v>
      </c>
      <c r="B55" s="31" t="e">
        <f>B53/G49</f>
        <v>#DIV/0!</v>
      </c>
      <c r="C55" s="34" t="s">
        <v>33</v>
      </c>
      <c r="F55" t="s">
        <v>28</v>
      </c>
      <c r="G55" s="7">
        <f>G52-G53</f>
        <v>0</v>
      </c>
      <c r="H55" s="7">
        <f t="shared" ref="H55:K55" si="11">H52-H53</f>
        <v>0</v>
      </c>
      <c r="I55" s="7">
        <f t="shared" si="11"/>
        <v>0</v>
      </c>
      <c r="J55" s="7">
        <f t="shared" si="11"/>
        <v>0</v>
      </c>
      <c r="K55" s="7">
        <f t="shared" si="11"/>
        <v>0</v>
      </c>
      <c r="M55" s="43">
        <f>M52-M53</f>
        <v>0</v>
      </c>
    </row>
    <row r="56" spans="1:13" x14ac:dyDescent="0.25">
      <c r="A56" s="34"/>
      <c r="B56" s="34"/>
      <c r="C56" s="37"/>
      <c r="G56" s="8"/>
      <c r="H56" s="8"/>
      <c r="I56" s="8"/>
      <c r="J56" s="8"/>
      <c r="K56" s="8"/>
    </row>
    <row r="57" spans="1:13" x14ac:dyDescent="0.25">
      <c r="A57" s="34" t="s">
        <v>47</v>
      </c>
      <c r="B57" s="34"/>
      <c r="C57" s="37"/>
      <c r="F57" t="s">
        <v>29</v>
      </c>
      <c r="G57" s="7">
        <f>G55</f>
        <v>0</v>
      </c>
      <c r="H57" s="7">
        <f>H55*discfactor</f>
        <v>0</v>
      </c>
      <c r="I57" s="7">
        <f>I55*discfactor^2</f>
        <v>0</v>
      </c>
      <c r="J57" s="7">
        <f>J55*discfactor^3</f>
        <v>0</v>
      </c>
      <c r="K57" s="7">
        <f>K55*discfactor^4</f>
        <v>0</v>
      </c>
      <c r="M57" s="7" t="e">
        <f>PV(discrate,t_years2,-M49*(M47-M50),0)*t_recovery2</f>
        <v>#DIV/0!</v>
      </c>
    </row>
    <row r="58" spans="1:13" x14ac:dyDescent="0.25">
      <c r="A58" s="34" t="s">
        <v>48</v>
      </c>
      <c r="B58" s="20">
        <v>0</v>
      </c>
      <c r="C58" s="34"/>
    </row>
    <row r="59" spans="1:13" x14ac:dyDescent="0.25">
      <c r="A59" s="34" t="s">
        <v>42</v>
      </c>
      <c r="B59" s="28">
        <v>0</v>
      </c>
      <c r="C59" s="34"/>
      <c r="F59" s="1" t="s">
        <v>30</v>
      </c>
      <c r="G59" s="4" t="e">
        <f>SUM(G57:M57)</f>
        <v>#DIV/0!</v>
      </c>
      <c r="H59" s="1" t="str">
        <f>B46</f>
        <v>Asset2</v>
      </c>
    </row>
    <row r="60" spans="1:13" x14ac:dyDescent="0.25">
      <c r="A60" s="34" t="s">
        <v>43</v>
      </c>
      <c r="B60" s="20">
        <v>0</v>
      </c>
      <c r="C60" s="34"/>
      <c r="F60" s="1" t="s">
        <v>31</v>
      </c>
      <c r="G60" s="3" t="e">
        <f>G59/B33</f>
        <v>#DIV/0!</v>
      </c>
    </row>
    <row r="61" spans="1:13" x14ac:dyDescent="0.25">
      <c r="A61" s="34" t="s">
        <v>44</v>
      </c>
      <c r="B61" s="20">
        <f>B53-SUM(G49:K49)</f>
        <v>0</v>
      </c>
      <c r="C61" s="34"/>
    </row>
    <row r="62" spans="1:13" x14ac:dyDescent="0.25">
      <c r="A62" s="34" t="s">
        <v>45</v>
      </c>
      <c r="B62" s="20">
        <v>0</v>
      </c>
      <c r="C62" s="34"/>
    </row>
    <row r="63" spans="1:13" x14ac:dyDescent="0.25">
      <c r="A63" s="34" t="s">
        <v>46</v>
      </c>
      <c r="B63" s="40" t="e">
        <f>B61/B62</f>
        <v>#DIV/0!</v>
      </c>
      <c r="C63" s="34"/>
      <c r="F63" s="6"/>
    </row>
    <row r="64" spans="1:13" x14ac:dyDescent="0.25">
      <c r="A64" s="34"/>
      <c r="B64" s="34"/>
      <c r="C64" s="34"/>
    </row>
    <row r="65" spans="1:13" x14ac:dyDescent="0.25">
      <c r="A65" s="34"/>
      <c r="B65" s="34"/>
      <c r="C65" s="34"/>
    </row>
    <row r="66" spans="1:13" x14ac:dyDescent="0.25">
      <c r="A66" s="34"/>
      <c r="B66" s="34"/>
      <c r="C66" s="34"/>
    </row>
    <row r="67" spans="1:13" x14ac:dyDescent="0.25">
      <c r="A67" s="38" t="s">
        <v>59</v>
      </c>
      <c r="B67" s="39" t="s">
        <v>0</v>
      </c>
      <c r="C67" s="39" t="s">
        <v>13</v>
      </c>
    </row>
    <row r="68" spans="1:13" x14ac:dyDescent="0.25">
      <c r="A68" s="34" t="s">
        <v>1</v>
      </c>
      <c r="B68" s="36" t="s">
        <v>51</v>
      </c>
      <c r="C68" s="34"/>
      <c r="G68">
        <f>startyear</f>
        <v>2022</v>
      </c>
      <c r="H68">
        <f>G68+1</f>
        <v>2023</v>
      </c>
      <c r="I68">
        <f>H68+1</f>
        <v>2024</v>
      </c>
      <c r="J68">
        <f t="shared" ref="J68" si="12">I68+1</f>
        <v>2025</v>
      </c>
      <c r="K68">
        <f t="shared" ref="K68" si="13">J68+1</f>
        <v>2026</v>
      </c>
      <c r="M68" t="s">
        <v>26</v>
      </c>
    </row>
    <row r="69" spans="1:13" x14ac:dyDescent="0.25">
      <c r="A69" s="34"/>
      <c r="B69" s="34"/>
      <c r="C69" s="34"/>
      <c r="F69" t="s">
        <v>41</v>
      </c>
      <c r="G69" s="9">
        <f>VLOOKUP(B70,resouce_type[],5,FALSE)</f>
        <v>20.99</v>
      </c>
      <c r="H69" s="9">
        <f>VLOOKUP(B70,resouce_type[],6,FALSE)</f>
        <v>21.844999999999999</v>
      </c>
      <c r="I69" s="9">
        <f>VLOOKUP(B70,resouce_type[],7,FALSE)</f>
        <v>22.7</v>
      </c>
      <c r="J69" s="9">
        <f>VLOOKUP(B70,resouce_type[],8,FALSE)</f>
        <v>22.975000000000001</v>
      </c>
      <c r="K69" s="9">
        <f>VLOOKUP(B70,resouce_type[],9,FALSE)</f>
        <v>23.864999999999998</v>
      </c>
      <c r="L69" s="8"/>
      <c r="M69" s="7">
        <f>IF(t_asset_price3="",K69,t_asset_price3)</f>
        <v>23.864999999999998</v>
      </c>
    </row>
    <row r="70" spans="1:13" x14ac:dyDescent="0.25">
      <c r="A70" s="34" t="s">
        <v>5</v>
      </c>
      <c r="B70" s="27" t="s">
        <v>7</v>
      </c>
      <c r="C70" s="36" t="str">
        <f>VLOOKUP(B70,resouce_type[],3,FALSE)</f>
        <v>Moz</v>
      </c>
      <c r="G70" s="8"/>
      <c r="H70" s="8"/>
      <c r="I70" s="8"/>
      <c r="J70" s="8"/>
      <c r="K70" s="8"/>
      <c r="L70" s="8"/>
      <c r="M70" s="8"/>
    </row>
    <row r="71" spans="1:13" x14ac:dyDescent="0.25">
      <c r="A71" s="34" t="s">
        <v>14</v>
      </c>
      <c r="B71" s="20"/>
      <c r="C71" s="28">
        <v>0</v>
      </c>
      <c r="F71" t="str">
        <f>"Annual Production "&amp;C70</f>
        <v>Annual Production Moz</v>
      </c>
      <c r="G71" s="9"/>
      <c r="H71" s="9"/>
      <c r="I71" s="9"/>
      <c r="J71" s="9"/>
      <c r="K71" s="9"/>
      <c r="L71" s="8"/>
      <c r="M71" s="7">
        <f>B84</f>
        <v>0</v>
      </c>
    </row>
    <row r="72" spans="1:13" x14ac:dyDescent="0.25">
      <c r="A72" s="34" t="s">
        <v>2</v>
      </c>
      <c r="B72" s="20">
        <v>0</v>
      </c>
      <c r="C72" s="28">
        <v>1</v>
      </c>
      <c r="F72" t="s">
        <v>25</v>
      </c>
      <c r="G72" s="9"/>
      <c r="H72" s="9"/>
      <c r="I72" s="9"/>
      <c r="J72" s="9"/>
      <c r="K72" s="9"/>
      <c r="L72" s="8"/>
      <c r="M72" s="7">
        <f>B82</f>
        <v>0</v>
      </c>
    </row>
    <row r="73" spans="1:13" x14ac:dyDescent="0.25">
      <c r="A73" s="34" t="s">
        <v>3</v>
      </c>
      <c r="B73" s="20">
        <v>0</v>
      </c>
      <c r="C73" s="28">
        <v>1</v>
      </c>
    </row>
    <row r="74" spans="1:13" x14ac:dyDescent="0.25">
      <c r="A74" s="34"/>
      <c r="B74" s="34"/>
      <c r="C74" s="34"/>
      <c r="F74" t="s">
        <v>24</v>
      </c>
      <c r="G74" s="7">
        <f>G71*G69</f>
        <v>0</v>
      </c>
      <c r="H74" s="7">
        <f>IF(H71="",$G$71,H71)*IF(H69="",$G$69,H69)</f>
        <v>0</v>
      </c>
      <c r="I74" s="7">
        <f t="shared" ref="I74:K74" si="14">IF(I71="",$G$71,I71)*IF(I69="",$G$69,I69)</f>
        <v>0</v>
      </c>
      <c r="J74" s="7">
        <f t="shared" si="14"/>
        <v>0</v>
      </c>
      <c r="K74" s="7">
        <f t="shared" si="14"/>
        <v>0</v>
      </c>
      <c r="M74" s="7">
        <f>M69*t_remaining3</f>
        <v>2100.12</v>
      </c>
    </row>
    <row r="75" spans="1:13" x14ac:dyDescent="0.25">
      <c r="A75" s="34" t="s">
        <v>6</v>
      </c>
      <c r="B75" s="29">
        <f>SUMPRODUCT($B$28:$B$29,$C$28:$C$29)</f>
        <v>88</v>
      </c>
      <c r="C75" s="34" t="str">
        <f>C70</f>
        <v>Moz</v>
      </c>
      <c r="F75" t="s">
        <v>27</v>
      </c>
      <c r="G75" s="7">
        <f>G71*G72</f>
        <v>0</v>
      </c>
      <c r="H75" s="7">
        <f>IF(H71="",$G$71,H71)*IF(H72="",$G$72,H72)</f>
        <v>0</v>
      </c>
      <c r="I75" s="7">
        <f t="shared" ref="I75:K75" si="15">IF(I71="",$G$71,I71)*IF(I72="",$G$72,I72)</f>
        <v>0</v>
      </c>
      <c r="J75" s="7">
        <f t="shared" si="15"/>
        <v>0</v>
      </c>
      <c r="K75" s="7">
        <f t="shared" si="15"/>
        <v>0</v>
      </c>
      <c r="M75" s="7">
        <f>M72*t_remaining3</f>
        <v>0</v>
      </c>
    </row>
    <row r="76" spans="1:13" x14ac:dyDescent="0.25">
      <c r="A76" s="34"/>
      <c r="B76" s="34"/>
      <c r="C76" s="34"/>
      <c r="G76" s="8"/>
      <c r="H76" s="8"/>
      <c r="I76" s="8"/>
      <c r="J76" s="8"/>
      <c r="K76" s="8"/>
    </row>
    <row r="77" spans="1:13" x14ac:dyDescent="0.25">
      <c r="A77" s="34" t="s">
        <v>32</v>
      </c>
      <c r="B77" s="30" t="e">
        <f>B75/G71</f>
        <v>#DIV/0!</v>
      </c>
      <c r="C77" s="34" t="s">
        <v>33</v>
      </c>
      <c r="F77" t="s">
        <v>28</v>
      </c>
      <c r="G77" s="7">
        <f>G74-G75</f>
        <v>0</v>
      </c>
      <c r="H77" s="7">
        <f t="shared" ref="H77:K77" si="16">H74-H75</f>
        <v>0</v>
      </c>
      <c r="I77" s="7">
        <f t="shared" si="16"/>
        <v>0</v>
      </c>
      <c r="J77" s="7">
        <f t="shared" si="16"/>
        <v>0</v>
      </c>
      <c r="K77" s="7">
        <f t="shared" si="16"/>
        <v>0</v>
      </c>
      <c r="M77" s="43">
        <f>M74-M75</f>
        <v>2100.12</v>
      </c>
    </row>
    <row r="78" spans="1:13" x14ac:dyDescent="0.25">
      <c r="A78" s="34"/>
      <c r="B78" s="34"/>
      <c r="C78" s="37"/>
      <c r="G78" s="8"/>
      <c r="H78" s="8"/>
      <c r="I78" s="8"/>
      <c r="J78" s="8"/>
      <c r="K78" s="8"/>
    </row>
    <row r="79" spans="1:13" x14ac:dyDescent="0.25">
      <c r="A79" s="38" t="s">
        <v>47</v>
      </c>
      <c r="B79" s="34"/>
      <c r="C79" s="37"/>
      <c r="F79" t="s">
        <v>29</v>
      </c>
      <c r="G79" s="7">
        <f>G77</f>
        <v>0</v>
      </c>
      <c r="H79" s="7">
        <f>H77*discfactor</f>
        <v>0</v>
      </c>
      <c r="I79" s="7">
        <f>I77*discfactor^2</f>
        <v>0</v>
      </c>
      <c r="J79" s="7">
        <f>J77*discfactor^3</f>
        <v>0</v>
      </c>
      <c r="K79" s="7">
        <f>K77*discfactor^4</f>
        <v>0</v>
      </c>
      <c r="M79" s="7" t="e">
        <f>PV(discrate,t_years3,-M71*(M69-M72),0)*t_recovery3</f>
        <v>#DIV/0!</v>
      </c>
    </row>
    <row r="80" spans="1:13" x14ac:dyDescent="0.25">
      <c r="A80" s="34" t="s">
        <v>48</v>
      </c>
      <c r="B80" s="20"/>
      <c r="C80" s="34"/>
    </row>
    <row r="81" spans="1:8" x14ac:dyDescent="0.25">
      <c r="A81" s="34" t="s">
        <v>42</v>
      </c>
      <c r="B81" s="28">
        <v>1</v>
      </c>
      <c r="C81" s="34"/>
      <c r="F81" s="1" t="s">
        <v>30</v>
      </c>
      <c r="G81" s="4" t="e">
        <f>SUM(G79:M79)</f>
        <v>#DIV/0!</v>
      </c>
      <c r="H81" s="1" t="str">
        <f>B68</f>
        <v>Asset3</v>
      </c>
    </row>
    <row r="82" spans="1:8" x14ac:dyDescent="0.25">
      <c r="A82" s="34" t="s">
        <v>43</v>
      </c>
      <c r="B82" s="20">
        <v>0</v>
      </c>
      <c r="C82" s="34"/>
      <c r="F82" s="1" t="s">
        <v>31</v>
      </c>
      <c r="G82" s="3" t="e">
        <f>G81/B55</f>
        <v>#DIV/0!</v>
      </c>
    </row>
    <row r="83" spans="1:8" x14ac:dyDescent="0.25">
      <c r="A83" s="34" t="s">
        <v>44</v>
      </c>
      <c r="B83" s="20">
        <f>B75-SUM(G71:K71)</f>
        <v>88</v>
      </c>
      <c r="C83" s="34"/>
    </row>
    <row r="84" spans="1:8" x14ac:dyDescent="0.25">
      <c r="A84" s="34" t="s">
        <v>45</v>
      </c>
      <c r="B84" s="20">
        <v>0</v>
      </c>
      <c r="C84" s="34"/>
    </row>
    <row r="85" spans="1:8" x14ac:dyDescent="0.25">
      <c r="A85" s="34" t="s">
        <v>46</v>
      </c>
      <c r="B85" s="40" t="e">
        <f>B83/B84</f>
        <v>#DIV/0!</v>
      </c>
      <c r="C85" s="34"/>
      <c r="F85" s="6"/>
    </row>
  </sheetData>
  <phoneticPr fontId="5" type="noConversion"/>
  <conditionalFormatting sqref="K10">
    <cfRule type="colorScale" priority="1">
      <colorScale>
        <cfvo type="num" val="0.5"/>
        <cfvo type="num" val="1"/>
        <cfvo type="num" val="1.5"/>
        <color rgb="FF63BE7B"/>
        <color rgb="FFFCFCFF"/>
        <color rgb="FFF8696B"/>
      </colorScale>
    </cfRule>
  </conditionalFormatting>
  <pageMargins left="0.7" right="0.7" top="0.75" bottom="0.75" header="0.3" footer="0.3"/>
  <pageSetup orientation="landscape"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9540CD01-7F9E-4B5A-96AC-969E20567463}">
          <x14:formula1>
            <xm:f>tables!$A$2:$A$6</xm:f>
          </x14:formula1>
          <xm:sqref>B26 B48 B70</xm:sqref>
        </x14:dataValidation>
        <x14:dataValidation type="list" allowBlank="1" showInputMessage="1" showErrorMessage="1" xr:uid="{4AE8E242-127B-4C41-8BCF-8AFA7CC6F701}">
          <x14:formula1>
            <xm:f>tables!$L$1:$L$2</xm:f>
          </x14:formula1>
          <xm:sqref>C7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828C8-E23E-49BF-A2CF-4667FA70AC18}">
  <dimension ref="A1:L6"/>
  <sheetViews>
    <sheetView workbookViewId="0">
      <selection activeCell="L3" sqref="L3"/>
    </sheetView>
  </sheetViews>
  <sheetFormatPr defaultRowHeight="15" x14ac:dyDescent="0.25"/>
  <cols>
    <col min="1" max="1" width="11.28515625" customWidth="1"/>
    <col min="2" max="2" width="34.85546875" customWidth="1"/>
    <col min="4" max="4" width="10.5703125" bestFit="1" customWidth="1"/>
    <col min="5" max="5" width="11.5703125" customWidth="1"/>
    <col min="6" max="7" width="11.28515625" customWidth="1"/>
    <col min="8" max="8" width="11.140625" customWidth="1"/>
  </cols>
  <sheetData>
    <row r="1" spans="1:12" x14ac:dyDescent="0.25">
      <c r="A1" t="s">
        <v>5</v>
      </c>
      <c r="B1" t="s">
        <v>40</v>
      </c>
      <c r="C1" t="s">
        <v>15</v>
      </c>
      <c r="D1" t="s">
        <v>34</v>
      </c>
      <c r="E1" t="s">
        <v>35</v>
      </c>
      <c r="F1" t="s">
        <v>36</v>
      </c>
      <c r="G1" t="s">
        <v>37</v>
      </c>
      <c r="H1" t="s">
        <v>38</v>
      </c>
      <c r="I1" t="s">
        <v>39</v>
      </c>
      <c r="L1" t="s">
        <v>76</v>
      </c>
    </row>
    <row r="2" spans="1:12" x14ac:dyDescent="0.25">
      <c r="A2" t="s">
        <v>8</v>
      </c>
      <c r="B2" t="e" vm="2">
        <v>#VALUE!</v>
      </c>
      <c r="C2" t="s">
        <v>17</v>
      </c>
      <c r="D2" s="2" cm="1">
        <f t="array" ref="D2">_FV(resouce_type[[#This Row],[Ticker]],"Price")</f>
        <v>1752</v>
      </c>
      <c r="E2">
        <v>1762</v>
      </c>
      <c r="F2">
        <v>1855</v>
      </c>
      <c r="G2">
        <v>1929</v>
      </c>
      <c r="H2">
        <v>2001</v>
      </c>
      <c r="I2">
        <v>2029</v>
      </c>
      <c r="L2" t="s">
        <v>77</v>
      </c>
    </row>
    <row r="3" spans="1:12" x14ac:dyDescent="0.25">
      <c r="A3" t="s">
        <v>7</v>
      </c>
      <c r="B3" t="e" vm="3">
        <v>#VALUE!</v>
      </c>
      <c r="C3" t="s">
        <v>17</v>
      </c>
      <c r="D3" s="2" cm="1">
        <f t="array" ref="D3">_FV(resouce_type[[#This Row],[Ticker]],"Price")</f>
        <v>20.975000000000001</v>
      </c>
      <c r="E3">
        <v>20.99</v>
      </c>
      <c r="F3">
        <v>21.844999999999999</v>
      </c>
      <c r="G3">
        <v>22.7</v>
      </c>
      <c r="H3">
        <v>22.975000000000001</v>
      </c>
      <c r="I3">
        <v>23.864999999999998</v>
      </c>
    </row>
    <row r="4" spans="1:12" x14ac:dyDescent="0.25">
      <c r="A4" t="s">
        <v>9</v>
      </c>
      <c r="B4" t="e" vm="4">
        <v>#VALUE!</v>
      </c>
      <c r="C4" t="s">
        <v>17</v>
      </c>
      <c r="D4" s="2" cm="1">
        <f t="array" ref="D4">_FV(resouce_type[[#This Row],[Ticker]],"Price")</f>
        <v>986.4</v>
      </c>
      <c r="E4">
        <v>1000</v>
      </c>
      <c r="F4">
        <v>1000</v>
      </c>
      <c r="G4">
        <v>1000</v>
      </c>
      <c r="H4">
        <v>1000</v>
      </c>
      <c r="I4">
        <v>1000</v>
      </c>
    </row>
    <row r="5" spans="1:12" x14ac:dyDescent="0.25">
      <c r="A5" t="s">
        <v>10</v>
      </c>
      <c r="C5" t="s">
        <v>16</v>
      </c>
      <c r="D5" s="5">
        <v>50.2</v>
      </c>
      <c r="E5">
        <v>53.2</v>
      </c>
      <c r="F5">
        <v>56.65</v>
      </c>
      <c r="G5">
        <v>59.75</v>
      </c>
      <c r="H5">
        <v>63.5</v>
      </c>
      <c r="I5">
        <v>65.5</v>
      </c>
    </row>
    <row r="6" spans="1:12" x14ac:dyDescent="0.25">
      <c r="A6" t="s">
        <v>11</v>
      </c>
      <c r="C6" t="s">
        <v>16</v>
      </c>
      <c r="D6" s="5">
        <v>3.6835</v>
      </c>
      <c r="E6">
        <v>3.6945000000000001</v>
      </c>
      <c r="F6">
        <v>3.6865000000000001</v>
      </c>
      <c r="G6">
        <v>3.7734999999999999</v>
      </c>
      <c r="H6">
        <v>3.8285</v>
      </c>
      <c r="I6">
        <v>3.831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EEB6F-FDAB-44D4-B970-216524A506D1}">
  <dimension ref="A1:N38"/>
  <sheetViews>
    <sheetView tabSelected="1" workbookViewId="0">
      <selection activeCell="J20" sqref="J20"/>
    </sheetView>
  </sheetViews>
  <sheetFormatPr defaultRowHeight="15" x14ac:dyDescent="0.25"/>
  <cols>
    <col min="1" max="1" width="28.7109375" customWidth="1"/>
    <col min="2" max="2" width="58" customWidth="1"/>
    <col min="3" max="3" width="21.28515625" customWidth="1"/>
    <col min="4" max="4" width="30.5703125" customWidth="1"/>
    <col min="5" max="6" width="9.28515625" customWidth="1"/>
    <col min="8" max="8" width="7.42578125" customWidth="1"/>
  </cols>
  <sheetData>
    <row r="1" spans="1:14" ht="49.5" customHeight="1" x14ac:dyDescent="0.35">
      <c r="A1" s="68" t="s">
        <v>84</v>
      </c>
      <c r="B1" s="69"/>
      <c r="C1" s="70" t="s">
        <v>85</v>
      </c>
      <c r="D1" s="71"/>
      <c r="E1" s="71"/>
      <c r="F1" s="71"/>
      <c r="G1" s="71"/>
      <c r="H1" s="71"/>
      <c r="I1" s="71"/>
      <c r="J1" s="71"/>
      <c r="K1" s="71"/>
      <c r="L1" s="71"/>
      <c r="M1" s="71"/>
      <c r="N1" s="71"/>
    </row>
    <row r="2" spans="1:14" ht="21.75" customHeight="1" x14ac:dyDescent="0.25">
      <c r="A2" s="72" t="s">
        <v>86</v>
      </c>
      <c r="B2" s="72" t="s">
        <v>87</v>
      </c>
      <c r="C2" s="73" t="s">
        <v>88</v>
      </c>
      <c r="D2" s="74"/>
      <c r="E2" s="74"/>
      <c r="F2" s="74"/>
      <c r="G2" s="73" t="s">
        <v>19</v>
      </c>
      <c r="H2" s="73"/>
      <c r="I2" s="73" t="s">
        <v>89</v>
      </c>
      <c r="J2" s="73" t="s">
        <v>90</v>
      </c>
      <c r="K2" s="73" t="s">
        <v>91</v>
      </c>
      <c r="L2" s="73" t="s">
        <v>92</v>
      </c>
      <c r="M2" s="73" t="s">
        <v>93</v>
      </c>
      <c r="N2" s="74"/>
    </row>
    <row r="3" spans="1:14" x14ac:dyDescent="0.25">
      <c r="A3" s="75"/>
      <c r="B3" s="75"/>
      <c r="C3" s="1" t="s">
        <v>40</v>
      </c>
      <c r="D3" s="20" t="e" vm="5">
        <v>#VALUE!</v>
      </c>
      <c r="F3" s="1" t="s">
        <v>94</v>
      </c>
      <c r="G3" s="76">
        <f ca="1">IF(ISBLANK(Price_OV),Price,Price_OV)*BS_E*BS_ND1-strike*BS_F*BS_ND2</f>
        <v>0.90920033842075121</v>
      </c>
      <c r="I3" s="77">
        <f ca="1">BS_E*BS_ND1</f>
        <v>0.38692064033581913</v>
      </c>
      <c r="J3" s="77">
        <f ca="1">BS_E*D35/(IF(ISBLANK(Price_OV),Price,Price_OV)*BS_C)</f>
        <v>0.10361441717355309</v>
      </c>
      <c r="K3" s="77">
        <f ca="1">$D$37*(-($D$38*volatility*BS_E*$D$35/(2*yeartoexp^0.5))-rate*strike*BS_F*BS_ND2+yield*$D$38*BS_E*BS_ND1)</f>
        <v>-1.1606010775863601E-2</v>
      </c>
      <c r="L3" s="77">
        <f ca="1">$D$38*BS_E*yeartoexp^0.5*$D$35/100</f>
        <v>3.2363672906774388E-2</v>
      </c>
      <c r="M3" s="77">
        <f ca="1">strike*yeartoexp*BS_F*BS_ND2/100</f>
        <v>1.1933894441581272E-2</v>
      </c>
    </row>
    <row r="4" spans="1:14" ht="15.75" customHeight="1" x14ac:dyDescent="0.25">
      <c r="A4" s="78" t="s">
        <v>95</v>
      </c>
      <c r="B4" s="79" t="s">
        <v>96</v>
      </c>
      <c r="C4" s="1" t="s">
        <v>19</v>
      </c>
      <c r="D4" s="80" cm="1">
        <f t="array" ref="D4">_FV(D3,"price")</f>
        <v>20.52</v>
      </c>
      <c r="F4" s="1" t="s">
        <v>97</v>
      </c>
      <c r="G4" s="76">
        <f ca="1">strike*BS_F*$D$30-IF(ISBLANK(Price_OV),Price,Price_OV)*BS_E*$D$29</f>
        <v>2.3518877311125355</v>
      </c>
      <c r="I4" s="77">
        <f ca="1">BS_E*(BS_ND1-1)</f>
        <v>-0.61307935966418081</v>
      </c>
      <c r="J4" s="77">
        <f ca="1">BS_E*D35/(IF(ISBLANK(Price_OV),Price,Price_OV)*BS_C)</f>
        <v>0.10361441717355309</v>
      </c>
      <c r="K4" s="77">
        <f ca="1">$D$37*(-($D$38*volatility*BS_E*$D$35/(2*yeartoexp^0.5))+rate*strike*BS_F*$D$30-yield*$D$38*BS_E*$D$29)</f>
        <v>-1.1004293313050128E-2</v>
      </c>
      <c r="L4" s="77">
        <f ca="1">$D$38*BS_E*yeartoexp^0.5*$D$35/100</f>
        <v>3.2363672906774388E-2</v>
      </c>
      <c r="M4" s="77">
        <f ca="1">-strike*yeartoexp*BS_F*$D$30/100</f>
        <v>-2.5347053357101565E-2</v>
      </c>
    </row>
    <row r="5" spans="1:14" ht="15.75" customHeight="1" x14ac:dyDescent="0.25">
      <c r="A5" s="78"/>
      <c r="B5" s="79"/>
      <c r="C5" s="1" t="s">
        <v>98</v>
      </c>
      <c r="D5" s="81"/>
    </row>
    <row r="6" spans="1:14" ht="30.75" customHeight="1" x14ac:dyDescent="0.25">
      <c r="A6" s="82" t="s">
        <v>99</v>
      </c>
      <c r="B6" s="83" t="s">
        <v>100</v>
      </c>
      <c r="C6" s="1" t="s">
        <v>101</v>
      </c>
      <c r="D6" s="81">
        <v>22</v>
      </c>
      <c r="F6" s="84" t="s">
        <v>102</v>
      </c>
      <c r="J6" s="85" t="s">
        <v>103</v>
      </c>
    </row>
    <row r="7" spans="1:14" ht="30.75" customHeight="1" x14ac:dyDescent="0.25">
      <c r="A7" s="82" t="s">
        <v>104</v>
      </c>
      <c r="B7" s="83" t="s">
        <v>105</v>
      </c>
      <c r="C7" s="1" t="s">
        <v>106</v>
      </c>
      <c r="D7" s="86">
        <v>0.437</v>
      </c>
      <c r="F7" s="1" t="s">
        <v>107</v>
      </c>
      <c r="G7" s="87">
        <v>3.0808370047850833</v>
      </c>
      <c r="H7" s="20"/>
      <c r="I7" s="88">
        <v>0.57354154890186071</v>
      </c>
      <c r="J7" s="88">
        <v>5.1099342960339703E-2</v>
      </c>
      <c r="K7" s="88">
        <v>-6.6950510097640286E-3</v>
      </c>
      <c r="L7" s="88">
        <v>6.8864537048683408E-2</v>
      </c>
      <c r="M7" s="88">
        <v>6.0879493806447291E-2</v>
      </c>
    </row>
    <row r="8" spans="1:14" x14ac:dyDescent="0.25">
      <c r="A8" s="82" t="s">
        <v>108</v>
      </c>
      <c r="B8" s="83" t="s">
        <v>108</v>
      </c>
      <c r="C8" s="1" t="s">
        <v>109</v>
      </c>
      <c r="D8" s="86">
        <v>0.01</v>
      </c>
      <c r="F8" s="1" t="s">
        <v>110</v>
      </c>
      <c r="G8" s="87">
        <v>0.92953690261723576</v>
      </c>
      <c r="H8" s="20"/>
      <c r="I8" s="88">
        <v>0.24155235273227382</v>
      </c>
      <c r="J8" s="88">
        <v>4.0651450241797518E-2</v>
      </c>
      <c r="K8" s="88">
        <v>-5.2387785659796272E-3</v>
      </c>
      <c r="L8" s="88">
        <v>5.478433066021491E-2</v>
      </c>
      <c r="M8" s="88">
        <v>2.7997494363338843E-2</v>
      </c>
    </row>
    <row r="9" spans="1:14" ht="48" customHeight="1" x14ac:dyDescent="0.25">
      <c r="A9" s="82" t="s">
        <v>111</v>
      </c>
      <c r="B9" s="83" t="s">
        <v>112</v>
      </c>
      <c r="C9" s="1" t="s">
        <v>113</v>
      </c>
      <c r="D9" s="86">
        <v>0</v>
      </c>
    </row>
    <row r="10" spans="1:14" ht="28.5" customHeight="1" x14ac:dyDescent="0.25">
      <c r="A10" s="78" t="s">
        <v>114</v>
      </c>
      <c r="B10" s="79" t="s">
        <v>115</v>
      </c>
      <c r="C10" s="1" t="s">
        <v>116</v>
      </c>
      <c r="I10" s="85" t="s">
        <v>89</v>
      </c>
      <c r="K10" s="85" t="s">
        <v>117</v>
      </c>
    </row>
    <row r="11" spans="1:14" x14ac:dyDescent="0.25">
      <c r="A11" s="78"/>
      <c r="B11" s="79"/>
      <c r="C11" t="s">
        <v>118</v>
      </c>
      <c r="D11" s="89">
        <f ca="1">+TODAY()</f>
        <v>44884</v>
      </c>
      <c r="F11" s="33" t="s">
        <v>119</v>
      </c>
      <c r="G11" s="76">
        <f>G7-G8</f>
        <v>2.1513001021678475</v>
      </c>
      <c r="I11" s="77">
        <f>I7-I8</f>
        <v>0.33198919616958689</v>
      </c>
      <c r="K11" s="90">
        <f>K7-K8</f>
        <v>-1.4562724437844014E-3</v>
      </c>
    </row>
    <row r="12" spans="1:14" x14ac:dyDescent="0.25">
      <c r="A12" s="78"/>
      <c r="B12" s="79"/>
      <c r="C12" t="s">
        <v>120</v>
      </c>
      <c r="D12" s="89">
        <v>44946</v>
      </c>
      <c r="I12" s="91">
        <f>+I11/G11</f>
        <v>0.15432026235439866</v>
      </c>
    </row>
    <row r="13" spans="1:14" x14ac:dyDescent="0.25">
      <c r="A13" s="78"/>
      <c r="B13" s="79"/>
      <c r="C13" t="s">
        <v>121</v>
      </c>
      <c r="D13" s="81"/>
      <c r="I13" s="91">
        <f>1/Price</f>
        <v>4.8732943469785579E-2</v>
      </c>
    </row>
    <row r="14" spans="1:14" ht="15.75" x14ac:dyDescent="0.25">
      <c r="A14" s="78"/>
      <c r="B14" s="79"/>
      <c r="C14" s="1" t="s">
        <v>122</v>
      </c>
      <c r="D14" s="92">
        <f ca="1">IF(ISBLANK(pricingdate),timetoexp/365.25,(expdate-pricingdate)/365.25)</f>
        <v>0.16974674880219029</v>
      </c>
      <c r="F14" s="84"/>
      <c r="H14" s="33" t="s">
        <v>123</v>
      </c>
      <c r="I14" s="90">
        <f>I12/I13</f>
        <v>3.1666517835122603</v>
      </c>
      <c r="J14" s="85"/>
    </row>
    <row r="15" spans="1:14" x14ac:dyDescent="0.25">
      <c r="A15" s="78"/>
      <c r="B15" s="79"/>
      <c r="C15" s="1" t="s">
        <v>124</v>
      </c>
      <c r="D15" s="81">
        <v>365</v>
      </c>
      <c r="F15" s="1"/>
      <c r="G15" s="93"/>
      <c r="H15" s="94"/>
      <c r="I15" s="95"/>
      <c r="J15" s="95"/>
      <c r="K15" s="95"/>
      <c r="L15" s="95"/>
      <c r="M15" s="95"/>
    </row>
    <row r="16" spans="1:14" x14ac:dyDescent="0.25">
      <c r="A16" s="75"/>
      <c r="B16" s="75"/>
      <c r="C16" t="s">
        <v>125</v>
      </c>
      <c r="F16" s="1"/>
      <c r="G16" s="93"/>
      <c r="H16" s="94"/>
      <c r="I16" s="95"/>
      <c r="J16" s="95"/>
      <c r="K16" s="95"/>
      <c r="L16" s="95"/>
      <c r="M16" s="95"/>
    </row>
    <row r="17" spans="1:12" x14ac:dyDescent="0.25">
      <c r="A17" s="75"/>
      <c r="B17" s="75"/>
    </row>
    <row r="18" spans="1:12" x14ac:dyDescent="0.25">
      <c r="A18" s="75"/>
      <c r="B18" s="75"/>
      <c r="I18" s="85"/>
      <c r="L18" s="85"/>
    </row>
    <row r="19" spans="1:12" x14ac:dyDescent="0.25">
      <c r="A19" s="75"/>
      <c r="B19" s="75"/>
      <c r="C19" s="96" t="s">
        <v>126</v>
      </c>
      <c r="D19" s="96"/>
      <c r="F19" s="33"/>
      <c r="G19" s="76"/>
      <c r="I19" s="77"/>
      <c r="J19" s="91"/>
      <c r="K19" s="91"/>
      <c r="L19" s="90"/>
    </row>
    <row r="20" spans="1:12" ht="16.5" customHeight="1" x14ac:dyDescent="0.25">
      <c r="A20" s="75"/>
      <c r="B20" s="75"/>
      <c r="C20" s="96" t="s">
        <v>127</v>
      </c>
      <c r="D20" s="97">
        <f>LN(IF(ISBLANK(Price_OV),Price/strike,Price_OV/strike))</f>
        <v>-6.9642433055747063E-2</v>
      </c>
    </row>
    <row r="21" spans="1:12" x14ac:dyDescent="0.25">
      <c r="A21" s="75"/>
      <c r="B21" s="75"/>
      <c r="C21" s="96" t="s">
        <v>128</v>
      </c>
      <c r="D21" s="97">
        <f ca="1">yeartoexp*(rate-yield+(volatility^2)/2)</f>
        <v>1.790565092402464E-2</v>
      </c>
    </row>
    <row r="22" spans="1:12" x14ac:dyDescent="0.25">
      <c r="A22" s="75"/>
      <c r="B22" s="75"/>
      <c r="C22" s="96" t="s">
        <v>129</v>
      </c>
      <c r="D22" s="97">
        <f ca="1">(volatility*yeartoexp^0.5)</f>
        <v>0.18004545779331807</v>
      </c>
    </row>
    <row r="23" spans="1:12" ht="4.5" customHeight="1" x14ac:dyDescent="0.25">
      <c r="A23" s="75"/>
      <c r="B23" s="75"/>
      <c r="C23" s="96"/>
      <c r="D23" s="97"/>
    </row>
    <row r="24" spans="1:12" x14ac:dyDescent="0.25">
      <c r="A24" s="75"/>
      <c r="B24" s="75"/>
      <c r="C24" s="96" t="s">
        <v>130</v>
      </c>
      <c r="D24" s="97">
        <f ca="1">(BS_A+BS_B)/BS_C</f>
        <v>-0.28735399807260509</v>
      </c>
    </row>
    <row r="25" spans="1:12" x14ac:dyDescent="0.25">
      <c r="A25" s="75"/>
      <c r="B25" s="75"/>
      <c r="C25" s="96" t="s">
        <v>131</v>
      </c>
      <c r="D25" s="97">
        <f ca="1">BS_D1-BS_C</f>
        <v>-0.46739945586592313</v>
      </c>
    </row>
    <row r="26" spans="1:12" ht="4.5" customHeight="1" x14ac:dyDescent="0.25">
      <c r="A26" s="75"/>
      <c r="B26" s="75"/>
      <c r="C26" s="96"/>
      <c r="D26" s="97"/>
    </row>
    <row r="27" spans="1:12" x14ac:dyDescent="0.25">
      <c r="A27" s="75"/>
      <c r="B27" s="75"/>
      <c r="C27" s="96" t="s">
        <v>132</v>
      </c>
      <c r="D27" s="97">
        <f ca="1">_xlfn.NORM.DIST(BS_D1,0,1,TRUE)</f>
        <v>0.38692064033581913</v>
      </c>
    </row>
    <row r="28" spans="1:12" x14ac:dyDescent="0.25">
      <c r="A28" s="75"/>
      <c r="B28" s="75"/>
      <c r="C28" s="96" t="s">
        <v>133</v>
      </c>
      <c r="D28" s="97">
        <f ca="1">_xlfn.NORM.DIST(BS_D2,0,1,TRUE)</f>
        <v>0.3201070559156467</v>
      </c>
    </row>
    <row r="29" spans="1:12" x14ac:dyDescent="0.25">
      <c r="A29" s="75"/>
      <c r="B29" s="75"/>
      <c r="C29" s="96" t="s">
        <v>134</v>
      </c>
      <c r="D29" s="97">
        <f ca="1">_xlfn.NORM.DIST(-BS_D1,0,1,TRUE)</f>
        <v>0.61307935966418081</v>
      </c>
    </row>
    <row r="30" spans="1:12" x14ac:dyDescent="0.25">
      <c r="A30" s="75"/>
      <c r="B30" s="75"/>
      <c r="C30" s="96" t="s">
        <v>135</v>
      </c>
      <c r="D30" s="97">
        <f ca="1">_xlfn.NORM.DIST(-BS_D2,0,1,TRUE)</f>
        <v>0.6798929440843533</v>
      </c>
    </row>
    <row r="31" spans="1:12" ht="6" customHeight="1" x14ac:dyDescent="0.25">
      <c r="C31" s="96"/>
      <c r="D31" s="97"/>
    </row>
    <row r="32" spans="1:12" x14ac:dyDescent="0.25">
      <c r="C32" s="96" t="s">
        <v>136</v>
      </c>
      <c r="D32" s="97">
        <f ca="1">EXP(-yield*yeartoexp)</f>
        <v>1</v>
      </c>
    </row>
    <row r="33" spans="3:4" x14ac:dyDescent="0.25">
      <c r="C33" s="96" t="s">
        <v>137</v>
      </c>
      <c r="D33" s="97">
        <f ca="1">EXP(-rate*yeartoexp)</f>
        <v>0.99830397239508106</v>
      </c>
    </row>
    <row r="34" spans="3:4" x14ac:dyDescent="0.25">
      <c r="C34" s="96"/>
      <c r="D34" s="96"/>
    </row>
    <row r="35" spans="3:4" x14ac:dyDescent="0.25">
      <c r="C35" s="96" t="s">
        <v>138</v>
      </c>
      <c r="D35" s="97">
        <f ca="1">_xlfn.NORM.DIST(-BS_D1,0,1,FALSE)</f>
        <v>0.38280686217048415</v>
      </c>
    </row>
    <row r="36" spans="3:4" x14ac:dyDescent="0.25">
      <c r="C36" s="96" t="s">
        <v>139</v>
      </c>
      <c r="D36" s="97">
        <f ca="1">_xlfn.NORM.DIST(-BS_D2,0,1,FALSE)</f>
        <v>0.35766100346864649</v>
      </c>
    </row>
    <row r="37" spans="3:4" x14ac:dyDescent="0.25">
      <c r="C37" s="96" t="s">
        <v>140</v>
      </c>
      <c r="D37" s="97">
        <f>1/trading_days</f>
        <v>2.7397260273972603E-3</v>
      </c>
    </row>
    <row r="38" spans="3:4" x14ac:dyDescent="0.25">
      <c r="C38" s="96" t="s">
        <v>141</v>
      </c>
      <c r="D38" s="96">
        <f>IF(ISBLANK(Price_OV),Price,Price_OV)</f>
        <v>20.52</v>
      </c>
    </row>
  </sheetData>
  <mergeCells count="4">
    <mergeCell ref="A4:A5"/>
    <mergeCell ref="B4:B5"/>
    <mergeCell ref="A10:A15"/>
    <mergeCell ref="B10:B15"/>
  </mergeCell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48</vt:i4>
      </vt:variant>
    </vt:vector>
  </HeadingPairs>
  <TitlesOfParts>
    <vt:vector size="51" baseType="lpstr">
      <vt:lpstr>Model</vt:lpstr>
      <vt:lpstr>tables</vt:lpstr>
      <vt:lpstr>BlackScholesCalc</vt:lpstr>
      <vt:lpstr>AL_Adjust</vt:lpstr>
      <vt:lpstr>BS_A</vt:lpstr>
      <vt:lpstr>BS_B</vt:lpstr>
      <vt:lpstr>BS_C</vt:lpstr>
      <vt:lpstr>BS_D1</vt:lpstr>
      <vt:lpstr>BS_D2</vt:lpstr>
      <vt:lpstr>BS_E</vt:lpstr>
      <vt:lpstr>BS_F</vt:lpstr>
      <vt:lpstr>BS_ND1</vt:lpstr>
      <vt:lpstr>BS_ND2</vt:lpstr>
      <vt:lpstr>discfactor</vt:lpstr>
      <vt:lpstr>discrate</vt:lpstr>
      <vt:lpstr>expdate</vt:lpstr>
      <vt:lpstr>Price</vt:lpstr>
      <vt:lpstr>Price_OV</vt:lpstr>
      <vt:lpstr>pricingdate</vt:lpstr>
      <vt:lpstr>Model!Print_Area</vt:lpstr>
      <vt:lpstr>rate</vt:lpstr>
      <vt:lpstr>startyear</vt:lpstr>
      <vt:lpstr>stock</vt:lpstr>
      <vt:lpstr>strike</vt:lpstr>
      <vt:lpstr>t_aisc</vt:lpstr>
      <vt:lpstr>t_aisc1</vt:lpstr>
      <vt:lpstr>t_aisc2</vt:lpstr>
      <vt:lpstr>t_aisc3</vt:lpstr>
      <vt:lpstr>t_annual_prod</vt:lpstr>
      <vt:lpstr>t_annual_prod2</vt:lpstr>
      <vt:lpstr>t_annual_prod3</vt:lpstr>
      <vt:lpstr>t_asset_price1</vt:lpstr>
      <vt:lpstr>t_asset_price2</vt:lpstr>
      <vt:lpstr>t_asset_price3</vt:lpstr>
      <vt:lpstr>t_recovery_rate2</vt:lpstr>
      <vt:lpstr>t_recovery1</vt:lpstr>
      <vt:lpstr>t_recovery2</vt:lpstr>
      <vt:lpstr>t_recovery3</vt:lpstr>
      <vt:lpstr>t_remaining1</vt:lpstr>
      <vt:lpstr>t_remaining2</vt:lpstr>
      <vt:lpstr>t_remaining3</vt:lpstr>
      <vt:lpstr>t_year2</vt:lpstr>
      <vt:lpstr>t_year3</vt:lpstr>
      <vt:lpstr>t_years1</vt:lpstr>
      <vt:lpstr>t_years2</vt:lpstr>
      <vt:lpstr>t_years3</vt:lpstr>
      <vt:lpstr>timetoexp</vt:lpstr>
      <vt:lpstr>trading_days</vt:lpstr>
      <vt:lpstr>volatility</vt:lpstr>
      <vt:lpstr>yeartoexp</vt:lpstr>
      <vt:lpstr>yield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Maxwell</dc:creator>
  <cp:lastModifiedBy>Robert Maxwell</cp:lastModifiedBy>
  <cp:lastPrinted>2022-11-18T23:01:53Z</cp:lastPrinted>
  <dcterms:created xsi:type="dcterms:W3CDTF">2022-11-15T13:52:58Z</dcterms:created>
  <dcterms:modified xsi:type="dcterms:W3CDTF">2022-11-19T22:50:26Z</dcterms:modified>
</cp:coreProperties>
</file>