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workbookPr defaultThemeVersion="166925"/>
  <mc:AlternateContent xmlns:mc="http://schemas.openxmlformats.org/markup-compatibility/2006">
    <mc:Choice Requires="x15">
      <x15ac:absPath xmlns:x15ac="http://schemas.microsoft.com/office/spreadsheetml/2010/11/ac" url="C:\Users\maxwe\OneDrive\Documents\Templates\"/>
    </mc:Choice>
  </mc:AlternateContent>
  <xr:revisionPtr revIDLastSave="0" documentId="13_ncr:1_{5A32E422-1E32-483A-82FF-34309B61468A}" xr6:coauthVersionLast="47" xr6:coauthVersionMax="47" xr10:uidLastSave="{00000000-0000-0000-0000-000000000000}"/>
  <bookViews>
    <workbookView xWindow="-28920" yWindow="-270" windowWidth="29040" windowHeight="15720" activeTab="1" xr2:uid="{E76B97D7-F4E5-4CCB-A047-412479D6B6E6}"/>
  </bookViews>
  <sheets>
    <sheet name="Model" sheetId="1" r:id="rId1"/>
    <sheet name="WACC" sheetId="2" r:id="rId2"/>
  </sheets>
  <definedNames>
    <definedName name="beta">WACC!$B$7</definedName>
    <definedName name="company">Model!$B$2</definedName>
    <definedName name="corptax">WACC!$B$4</definedName>
    <definedName name="costdebt">WACC!$B$11</definedName>
    <definedName name="costeq">WACC!$B$10</definedName>
    <definedName name="debt">WACC!$B$3</definedName>
    <definedName name="equity">WACC!$B$2</definedName>
    <definedName name="EV_EBITDA">Model!$B$8</definedName>
    <definedName name="FCF">Model!$B$3</definedName>
    <definedName name="FCFF6">Model!$B$15</definedName>
    <definedName name="growth">Model!$B$6</definedName>
    <definedName name="intexp">WACC!$B$5</definedName>
    <definedName name="mktret">WACC!$B$8</definedName>
    <definedName name="per_growth">Model!$B$7</definedName>
    <definedName name="pvffcf">Model!$K$9</definedName>
    <definedName name="rfrate">WACC!$B$6</definedName>
    <definedName name="seed_year">Model!$B$5</definedName>
    <definedName name="shares">Model!$B$26</definedName>
    <definedName name="term_method">Model!$B$9</definedName>
    <definedName name="term_methods">Model!$A$31:$D$34</definedName>
    <definedName name="terminal_mult">Model!$B$11</definedName>
    <definedName name="time_data">#REF!</definedName>
    <definedName name="tv">Model!$B$10</definedName>
    <definedName name="tv_or">Model!$B$14</definedName>
    <definedName name="val_price">Model!$K$11</definedName>
    <definedName name="WACC">Model!$B$4</definedName>
    <definedName name="wacclink">Model!$C$4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5" i="2" l="1"/>
  <c r="B14" i="2"/>
  <c r="B13" i="2"/>
  <c r="B10" i="2"/>
  <c r="B11" i="2"/>
  <c r="C4" i="1" a="1"/>
  <c r="C4" i="1" s="1"/>
  <c r="H4" i="1"/>
  <c r="I4" i="1"/>
  <c r="J4" i="1"/>
  <c r="G4" i="1"/>
  <c r="K4" i="1"/>
  <c r="D33" i="1"/>
  <c r="K12" i="1" l="1" a="1"/>
  <c r="K12" i="1" s="1"/>
  <c r="B14" i="1"/>
  <c r="B12" i="1"/>
  <c r="B26" i="1" a="1"/>
  <c r="B26" i="1" s="1"/>
  <c r="B24" i="1" s="1"/>
  <c r="M5" i="1"/>
  <c r="N5" i="1"/>
  <c r="O5" i="1"/>
  <c r="P5" i="1"/>
  <c r="L5" i="1"/>
  <c r="I5" i="1"/>
  <c r="J5" i="1"/>
  <c r="H5" i="1"/>
  <c r="L4" i="1"/>
  <c r="H3" i="1"/>
  <c r="I3" i="1"/>
  <c r="J3" i="1"/>
  <c r="K3" i="1"/>
  <c r="L3" i="1"/>
  <c r="M3" i="1"/>
  <c r="N3" i="1"/>
  <c r="O3" i="1"/>
  <c r="P3" i="1"/>
  <c r="G3" i="1"/>
  <c r="B28" i="1" a="1"/>
  <c r="B28" i="1" s="1"/>
  <c r="B27" i="1" a="1"/>
  <c r="B27" i="1" s="1"/>
  <c r="B20" i="1" a="1"/>
  <c r="B20" i="1" s="1"/>
  <c r="B25" i="1" a="1"/>
  <c r="B25" i="1" s="1"/>
  <c r="K10" i="1" l="1"/>
  <c r="B18" i="1" s="1"/>
  <c r="L9" i="1"/>
  <c r="M4" i="1"/>
  <c r="K5" i="1"/>
  <c r="M9" i="1" l="1"/>
  <c r="N4" i="1"/>
  <c r="N9" i="1" l="1"/>
  <c r="O4" i="1"/>
  <c r="P4" i="1" l="1"/>
  <c r="B15" i="1" s="1"/>
  <c r="O9" i="1"/>
  <c r="D32" i="1" l="1"/>
  <c r="B10" i="1" s="1"/>
  <c r="B11" i="1" s="1"/>
  <c r="Q4" i="1" s="1"/>
  <c r="D34" i="1"/>
  <c r="P9" i="1"/>
  <c r="Q9" i="1" l="1"/>
  <c r="K9" i="1" s="1"/>
  <c r="K11" i="1" l="1"/>
  <c r="B17" i="1"/>
  <c r="K13" i="1" l="1"/>
  <c r="B21" i="1" s="1"/>
  <c r="B22" i="1" s="1"/>
  <c r="B19" i="1"/>
  <c r="K14"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<sst xmlns="http://schemas.openxmlformats.org/spreadsheetml/2006/main" count="78" uniqueCount="72">
  <si>
    <t>WACC</t>
  </si>
  <si>
    <t>Stock Ticker</t>
  </si>
  <si>
    <t>TTM FCF (millions)</t>
  </si>
  <si>
    <t>Ticker</t>
  </si>
  <si>
    <t>Market Cap</t>
  </si>
  <si>
    <t>P/E Ratio</t>
  </si>
  <si>
    <t>Shares Outstanding</t>
  </si>
  <si>
    <t>Total Shares (millions)</t>
  </si>
  <si>
    <t>Cashflows in millions</t>
  </si>
  <si>
    <t>Override $</t>
  </si>
  <si>
    <t>Growth Rate</t>
  </si>
  <si>
    <t>Terminal Multiple</t>
  </si>
  <si>
    <t>Terminal Value</t>
  </si>
  <si>
    <t>Terminal Method</t>
  </si>
  <si>
    <t>1 - Perpetuity Growth</t>
  </si>
  <si>
    <t>3 - No Growth Perpetuity</t>
  </si>
  <si>
    <t>Desc</t>
  </si>
  <si>
    <t>Value</t>
  </si>
  <si>
    <t>Terminal Methods</t>
  </si>
  <si>
    <t>2 - Exit Multiple</t>
  </si>
  <si>
    <t>Terminal Multiple OR</t>
  </si>
  <si>
    <r>
      <t>FCFF</t>
    </r>
    <r>
      <rPr>
        <b/>
        <vertAlign val="subscript"/>
        <sz val="11"/>
        <color theme="1"/>
        <rFont val="Calibri"/>
        <family val="2"/>
        <scheme val="minor"/>
      </rPr>
      <t xml:space="preserve">6 </t>
    </r>
    <r>
      <rPr>
        <b/>
        <sz val="11"/>
        <color theme="1"/>
        <rFont val="Calibri"/>
        <family val="2"/>
        <scheme val="minor"/>
      </rPr>
      <t>/ (WACC – Growth Rate)</t>
    </r>
  </si>
  <si>
    <t>EV/EBITDA</t>
  </si>
  <si>
    <r>
      <t>FCFF</t>
    </r>
    <r>
      <rPr>
        <b/>
        <vertAlign val="subscript"/>
        <sz val="11"/>
        <color theme="1"/>
        <rFont val="Calibri"/>
        <family val="2"/>
        <scheme val="minor"/>
      </rPr>
      <t xml:space="preserve">6 </t>
    </r>
    <r>
      <rPr>
        <b/>
        <sz val="11"/>
        <color theme="1"/>
        <rFont val="Calibri"/>
        <family val="2"/>
        <scheme val="minor"/>
      </rPr>
      <t>/ WACC</t>
    </r>
  </si>
  <si>
    <t>Method</t>
  </si>
  <si>
    <t>Terminal Formula</t>
  </si>
  <si>
    <t>Year</t>
  </si>
  <si>
    <t>Calc</t>
  </si>
  <si>
    <t>FCFF6 (millions)</t>
  </si>
  <si>
    <t>Terminal Value (millions)</t>
  </si>
  <si>
    <t>Terminal Value OR</t>
  </si>
  <si>
    <t>Present Value FFCF &gt;&gt;&gt;</t>
  </si>
  <si>
    <t>Shares Outstanding (m)</t>
  </si>
  <si>
    <t>Per Share Valuation</t>
  </si>
  <si>
    <t>&lt;&lt;Leave Blank To Use Method</t>
  </si>
  <si>
    <t>Market Price</t>
  </si>
  <si>
    <t>Discount(-Premium)</t>
  </si>
  <si>
    <t>Mature Company</t>
  </si>
  <si>
    <t>Perp Growth Rate (inflation)</t>
  </si>
  <si>
    <t>Short Term Growth Rate</t>
  </si>
  <si>
    <t>Disc/(-Prem%)</t>
  </si>
  <si>
    <t>Free Cash Flow</t>
  </si>
  <si>
    <t>Actuals</t>
  </si>
  <si>
    <t>&lt;&lt;&lt;&lt;&lt;</t>
  </si>
  <si>
    <t>&gt;&gt;&gt;&gt;&gt;</t>
  </si>
  <si>
    <t>OR FCF</t>
  </si>
  <si>
    <t>Shares (m)&gt;&gt;&gt;</t>
  </si>
  <si>
    <t>vvvvvv      Model Outputs    vvvvvv</t>
  </si>
  <si>
    <t>Model Valuation &gt;&gt;&gt;</t>
  </si>
  <si>
    <t>Price &gt;&gt;&gt;</t>
  </si>
  <si>
    <t>Discount(-Premium) &gt;&gt;&gt;</t>
  </si>
  <si>
    <t>Disc/(-Prem%) &gt;&gt;&gt;</t>
  </si>
  <si>
    <t>vvvvvv  Model Inputs    vvvvvv</t>
  </si>
  <si>
    <t>&gt;&gt;&gt;&gt;&gt;  INPUT FCF YEARLY OVERRIDES &gt;&gt;&gt;&gt;&gt;&gt;&gt;&gt;&gt;&gt;</t>
  </si>
  <si>
    <t>Slowly Declining Company</t>
  </si>
  <si>
    <t>Declining Company</t>
  </si>
  <si>
    <t>E</t>
  </si>
  <si>
    <t>D</t>
  </si>
  <si>
    <t>re</t>
  </si>
  <si>
    <t>rd</t>
  </si>
  <si>
    <t>t</t>
  </si>
  <si>
    <t>last int exp</t>
  </si>
  <si>
    <t>risk free rate</t>
  </si>
  <si>
    <t>https://fred.stlouisfed.org/series/DGS10</t>
  </si>
  <si>
    <t>beta</t>
  </si>
  <si>
    <t>expect market return</t>
  </si>
  <si>
    <t>E/(E+D)</t>
  </si>
  <si>
    <t>D/(E+D)</t>
  </si>
  <si>
    <t>cost of equity</t>
  </si>
  <si>
    <t>cost of debt</t>
  </si>
  <si>
    <t>equity weight</t>
  </si>
  <si>
    <t>debt weight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</si>
</sst>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7" formatCode="&quot;$&quot;#,##0.00_);\(&quot;$&quot;#,##0.00\)"/>
    <numFmt numFmtId="44" formatCode="_(&quot;$&quot;* #,##0.00_);_(&quot;$&quot;* \(#,##0.00\);_(&quot;$&quot;* &quot;-&quot;??_);_(@_)"/>
    <numFmt numFmtId="43" formatCode="_(* #,##0.00_);_(* \(#,##0.00\);_(* &quot;-&quot;??_);_(@_)"/>
    <numFmt numFmtId="164" formatCode="_([$$-409]* #,##0_);_([$$-409]* \(#,##0\);_([$$-409]* &quot;-&quot;_);_(@_)"/>
    <numFmt numFmtId="165" formatCode="#,###.00,,"/>
    <numFmt numFmtId="166" formatCode="0.0%"/>
    <numFmt numFmtId="167" formatCode="[$$-409]#,##0.00_);\([$$-409]#,##0.00\)"/>
  </numFmts>
  <fonts count="13" x14ac:knownFonts="1">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b/>
      <sz val="11"/>
      <color rgb="FF3F3F3F"/>
      <name val="Calibri"/>
      <family val="2"/>
      <scheme val="minor"/>
    </font>
    <font>
      <b/>
      <vertAlign val="subscript"/>
      <sz val="11"/>
      <color theme="1"/>
      <name val="Calibri"/>
      <family val="2"/>
      <scheme val="minor"/>
    </font>
    <font>
      <sz val="9"/>
      <color theme="1"/>
      <name val="Calibri"/>
      <family val="2"/>
      <scheme val="minor"/>
    </font>
    <font>
      <sz val="14"/>
      <color theme="1"/>
      <name val="Calibri"/>
      <family val="2"/>
      <scheme val="minor"/>
    </font>
    <font>
      <b/>
      <sz val="12"/>
      <color theme="1"/>
      <name val="Calibri"/>
      <family val="2"/>
      <scheme val="minor"/>
    </font>
    <font>
      <b/>
      <sz val="12"/>
      <color rgb="FF3F3F3F"/>
      <name val="Calibri"/>
      <family val="2"/>
      <scheme val="minor"/>
    </font>
    <font>
      <b/>
      <sz val="11"/>
      <color rgb="FF3F3F76"/>
      <name val="Calibri"/>
      <family val="2"/>
      <scheme val="minor"/>
    </font>
    <font>
      <u/>
      <sz val="11"/>
      <color theme="10"/>
      <name val="Calibri"/>
      <family val="2"/>
      <scheme val="minor"/>
    </font>
    <font>
      <sz val="11"/>
      <color rgb="FF9C5700"/>
      <name val="Calibri"/>
      <family val="2"/>
      <scheme val="minor"/>
    </font>
  </fonts>
  <fills count="9">
    <fill>
      <patternFill patternType="none"/>
    </fill>
    <fill>
      <patternFill patternType="gray125"/>
    </fill>
    <fill>
      <patternFill patternType="solid">
        <fgColor rgb="FFFFCC99"/>
      </patternFill>
    </fill>
    <fill>
      <patternFill patternType="solid">
        <fgColor theme="6" tint="0.59999389629810485"/>
        <bgColor indexed="65"/>
      </patternFill>
    </fill>
    <fill>
      <patternFill patternType="solid">
        <fgColor rgb="FFF2F2F2"/>
      </patternFill>
    </fill>
    <fill>
      <patternFill patternType="solid">
        <fgColor rgb="FFFFFFCC"/>
      </patternFill>
    </fill>
    <fill>
      <patternFill patternType="solid">
        <fgColor theme="9" tint="0.59999389629810485"/>
        <bgColor indexed="65"/>
      </patternFill>
    </fill>
    <fill>
      <patternFill patternType="solid">
        <fgColor theme="8" tint="0.59999389629810485"/>
        <bgColor indexed="65"/>
      </patternFill>
    </fill>
    <fill>
      <patternFill patternType="solid">
        <fgColor rgb="FFFFEB9C"/>
      </patternFill>
    </fill>
  </fills>
  <borders count="8">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diagonal/>
    </border>
    <border>
      <left/>
      <right/>
      <top style="mediumDashed">
        <color indexed="64"/>
      </top>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diagonal/>
    </border>
  </borders>
  <cellStyleXfs count="12">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1" applyNumberFormat="0" applyAlignment="0" applyProtection="0"/>
    <xf numFmtId="0" fontId="1" fillId="3" borderId="0" applyNumberFormat="0" applyBorder="0" applyAlignment="0" applyProtection="0"/>
    <xf numFmtId="0" fontId="4" fillId="4" borderId="2" applyNumberFormat="0" applyAlignment="0" applyProtection="0"/>
    <xf numFmtId="44" fontId="1" fillId="0" borderId="0" applyFont="0" applyFill="0" applyBorder="0" applyAlignment="0" applyProtection="0"/>
    <xf numFmtId="0" fontId="1" fillId="5" borderId="5" applyNumberFormat="0" applyFont="0" applyAlignment="0" applyProtection="0"/>
    <xf numFmtId="0" fontId="1" fillId="6" borderId="0" applyNumberFormat="0" applyBorder="0" applyAlignment="0" applyProtection="0"/>
    <xf numFmtId="0" fontId="1" fillId="7" borderId="0" applyNumberFormat="0" applyBorder="0" applyAlignment="0" applyProtection="0"/>
    <xf numFmtId="0" fontId="11" fillId="0" borderId="0" applyNumberFormat="0" applyFill="0" applyBorder="0" applyAlignment="0" applyProtection="0"/>
    <xf numFmtId="0" fontId="12" fillId="8" borderId="0" applyNumberFormat="0" applyBorder="0" applyAlignment="0" applyProtection="0"/>
  </cellStyleXfs>
  <cellXfs count="53">
    <xf numFmtId="0" fontId="0" fillId="0" borderId="0" xfId="0"/>
    <xf numFmtId="166" fontId="0" fillId="0" borderId="0" xfId="2" applyNumberFormat="1" applyFont="1"/>
    <xf numFmtId="0" fontId="2" fillId="2" borderId="1" xfId="3" applyAlignment="1">
      <alignment horizontal="right"/>
    </xf>
    <xf numFmtId="0" fontId="2" fillId="2" borderId="1" xfId="3"/>
    <xf numFmtId="0" fontId="1" fillId="3" borderId="0" xfId="4" applyAlignment="1">
      <alignment horizontal="right"/>
    </xf>
    <xf numFmtId="0" fontId="3" fillId="0" borderId="0" xfId="0" applyFont="1" applyAlignment="1">
      <alignment horizontal="right"/>
    </xf>
    <xf numFmtId="0" fontId="2" fillId="2" borderId="1" xfId="1" applyNumberFormat="1" applyFont="1" applyFill="1" applyBorder="1"/>
    <xf numFmtId="2" fontId="0" fillId="0" borderId="0" xfId="0" applyNumberFormat="1"/>
    <xf numFmtId="0" fontId="1" fillId="3" borderId="0" xfId="4" applyAlignment="1">
      <alignment horizontal="left"/>
    </xf>
    <xf numFmtId="0" fontId="3" fillId="3" borderId="0" xfId="4" applyFont="1" applyAlignment="1">
      <alignment horizontal="left"/>
    </xf>
    <xf numFmtId="0" fontId="0" fillId="3" borderId="0" xfId="4" applyFont="1" applyAlignment="1">
      <alignment horizontal="left"/>
    </xf>
    <xf numFmtId="0" fontId="0" fillId="3" borderId="0" xfId="4" applyFont="1" applyAlignment="1">
      <alignment horizontal="right"/>
    </xf>
    <xf numFmtId="2" fontId="1" fillId="3" borderId="0" xfId="4" applyNumberFormat="1" applyAlignment="1">
      <alignment horizontal="right"/>
    </xf>
    <xf numFmtId="1" fontId="1" fillId="3" borderId="0" xfId="4" applyNumberFormat="1" applyAlignment="1">
      <alignment horizontal="right"/>
    </xf>
    <xf numFmtId="2" fontId="6" fillId="3" borderId="0" xfId="4" applyNumberFormat="1" applyFont="1" applyAlignment="1">
      <alignment horizontal="right"/>
    </xf>
    <xf numFmtId="0" fontId="0" fillId="0" borderId="0" xfId="0" applyAlignment="1">
      <alignment horizontal="right"/>
    </xf>
    <xf numFmtId="2" fontId="4" fillId="4" borderId="2" xfId="5" applyNumberFormat="1"/>
    <xf numFmtId="44" fontId="4" fillId="4" borderId="2" xfId="5" applyNumberFormat="1"/>
    <xf numFmtId="44" fontId="0" fillId="0" borderId="0" xfId="0" applyNumberFormat="1"/>
    <xf numFmtId="9" fontId="0" fillId="0" borderId="0" xfId="2" applyFont="1"/>
    <xf numFmtId="0" fontId="7" fillId="0" borderId="0" xfId="0" applyFont="1"/>
    <xf numFmtId="0" fontId="2" fillId="2" borderId="3" xfId="3" applyBorder="1"/>
    <xf numFmtId="0" fontId="0" fillId="0" borderId="4" xfId="0" applyBorder="1"/>
    <xf numFmtId="0" fontId="0" fillId="0" borderId="4" xfId="0" applyBorder="1" applyAlignment="1">
      <alignment horizontal="center"/>
    </xf>
    <xf numFmtId="0" fontId="1" fillId="6" borderId="0" xfId="8" applyAlignment="1">
      <alignment horizontal="right"/>
    </xf>
    <xf numFmtId="165" fontId="1" fillId="6" borderId="0" xfId="8" applyNumberFormat="1"/>
    <xf numFmtId="3" fontId="1" fillId="6" borderId="0" xfId="8" applyNumberFormat="1" applyAlignment="1">
      <alignment horizontal="right"/>
    </xf>
    <xf numFmtId="4" fontId="1" fillId="6" borderId="0" xfId="8" applyNumberFormat="1" applyAlignment="1">
      <alignment horizontal="right"/>
    </xf>
    <xf numFmtId="164" fontId="1" fillId="6" borderId="0" xfId="8" applyNumberFormat="1" applyAlignment="1">
      <alignment horizontal="right"/>
    </xf>
    <xf numFmtId="0" fontId="3" fillId="0" borderId="0" xfId="0" applyFont="1"/>
    <xf numFmtId="9" fontId="0" fillId="0" borderId="0" xfId="2" applyFont="1" applyBorder="1"/>
    <xf numFmtId="0" fontId="8" fillId="5" borderId="5" xfId="7" applyFont="1" applyAlignment="1">
      <alignment horizontal="centerContinuous"/>
    </xf>
    <xf numFmtId="2" fontId="8" fillId="5" borderId="5" xfId="7" applyNumberFormat="1" applyFont="1" applyAlignment="1">
      <alignment horizontal="centerContinuous"/>
    </xf>
    <xf numFmtId="0" fontId="8" fillId="0" borderId="0" xfId="0" applyFont="1" applyAlignment="1">
      <alignment horizontal="right"/>
    </xf>
    <xf numFmtId="2" fontId="9" fillId="4" borderId="2" xfId="5" applyNumberFormat="1" applyFont="1" applyAlignment="1">
      <alignment horizontal="right"/>
    </xf>
    <xf numFmtId="7" fontId="9" fillId="4" borderId="7" xfId="6" applyNumberFormat="1" applyFont="1" applyFill="1" applyBorder="1" applyAlignment="1">
      <alignment horizontal="right"/>
    </xf>
    <xf numFmtId="7" fontId="8" fillId="0" borderId="6" xfId="0" applyNumberFormat="1" applyFont="1" applyBorder="1" applyAlignment="1">
      <alignment horizontal="right"/>
    </xf>
    <xf numFmtId="9" fontId="8" fillId="0" borderId="6" xfId="2" applyFont="1" applyBorder="1" applyAlignment="1">
      <alignment horizontal="right"/>
    </xf>
    <xf numFmtId="0" fontId="10" fillId="2" borderId="1" xfId="3" applyFont="1"/>
    <xf numFmtId="10" fontId="10" fillId="2" borderId="1" xfId="3" applyNumberFormat="1" applyFont="1"/>
    <xf numFmtId="0" fontId="10" fillId="2" borderId="1" xfId="1" applyNumberFormat="1" applyFont="1" applyFill="1" applyBorder="1"/>
    <xf numFmtId="166" fontId="10" fillId="2" borderId="1" xfId="3" applyNumberFormat="1" applyFont="1"/>
    <xf numFmtId="166" fontId="10" fillId="2" borderId="1" xfId="3" applyNumberFormat="1" applyFont="1" applyAlignment="1">
      <alignment horizontal="right"/>
    </xf>
    <xf numFmtId="0" fontId="8" fillId="5" borderId="5" xfId="7" applyFont="1" applyAlignment="1">
      <alignment horizontal="center"/>
    </xf>
    <xf numFmtId="0" fontId="0" fillId="5" borderId="5" xfId="7" applyFont="1"/>
    <xf numFmtId="167" fontId="8" fillId="7" borderId="6" xfId="9" applyNumberFormat="1" applyFont="1" applyBorder="1" applyAlignment="1">
      <alignment horizontal="right"/>
    </xf>
    <xf numFmtId="0" fontId="11" fillId="0" borderId="0" xfId="10"/>
    <xf numFmtId="10" fontId="0" fillId="0" borderId="0" xfId="2" applyNumberFormat="1" applyFont="1"/>
    <xf numFmtId="10" fontId="0" fillId="0" borderId="0" xfId="0" applyNumberFormat="1"/>
    <xf numFmtId="166" fontId="3" fillId="0" borderId="0" xfId="2" applyNumberFormat="1" applyFont="1"/>
    <xf numFmtId="0" fontId="12" fillId="8" borderId="0" xfId="11"/>
    <xf numFmtId="9" fontId="12" fillId="8" borderId="0" xfId="11" applyNumberFormat="1"/>
    <xf numFmtId="10" fontId="12" fillId="8" borderId="0" xfId="11" applyNumberFormat="1"/>
  </cellXfs>
  <cellStyles count="12">
    <cellStyle name="40% - Accent3" xfId="4" builtinId="39"/>
    <cellStyle name="40% - Accent5" xfId="9" builtinId="47"/>
    <cellStyle name="40% - Accent6" xfId="8" builtinId="51"/>
    <cellStyle name="Comma" xfId="1" builtinId="3"/>
    <cellStyle name="Currency" xfId="6" builtinId="4"/>
    <cellStyle name="Hyperlink" xfId="10" builtinId="8"/>
    <cellStyle name="Input" xfId="3" builtinId="20"/>
    <cellStyle name="Neutral" xfId="11" builtinId="28"/>
    <cellStyle name="Normal" xfId="0" builtinId="0"/>
    <cellStyle name="Note" xfId="7" builtinId="10"/>
    <cellStyle name="Output" xfId="5" builtinId="21"/>
    <cellStyle name="Percent" xfId="2" builtinId="5"/>
  </cellStyles>
  <dxfs count="0"/>
  <tableStyles count="1" defaultTableStyle="TableStyleMedium2" defaultPivotStyle="PivotStyleLight16">
    <tableStyle name="Invisible" pivot="0" table="0" count="0" xr9:uid="{DEE65510-DE63-4439-9EE3-1E9966544508}"/>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Structure" Target="richData/rdrichvaluestructure.xml"/><Relationship Id="rId13" Type="http://schemas.openxmlformats.org/officeDocument/2006/relationships/calcChain" Target="calcChain.xml"/><Relationship Id="rId3" Type="http://schemas.openxmlformats.org/officeDocument/2006/relationships/theme" Target="theme/theme1.xml"/><Relationship Id="rId7" Type="http://schemas.microsoft.com/office/2017/06/relationships/rdRichValue" Target="richData/rdrichvalue.xml"/><Relationship Id="rId12" Type="http://schemas.microsoft.com/office/2017/06/relationships/rdRichValueTypes" Target="richData/rdRichValueTypes.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sheetMetadata" Target="metadata.xml"/><Relationship Id="rId11" Type="http://schemas.microsoft.com/office/2017/06/relationships/rdSupportingPropertyBag" Target="richData/rdsupportingpropertybag.xml"/><Relationship Id="rId5" Type="http://schemas.openxmlformats.org/officeDocument/2006/relationships/sharedStrings" Target="sharedStrings.xml"/><Relationship Id="rId15" Type="http://schemas.openxmlformats.org/officeDocument/2006/relationships/customXml" Target="../customXml/item2.xml"/><Relationship Id="rId10" Type="http://schemas.microsoft.com/office/2017/06/relationships/rdSupportingPropertyBagStructure" Target="richData/rdsupportingpropertybagstructure.xml"/><Relationship Id="rId4" Type="http://schemas.openxmlformats.org/officeDocument/2006/relationships/styles" Target="styles.xml"/><Relationship Id="rId9" Type="http://schemas.microsoft.com/office/2017/06/relationships/richStyles" Target="richData/richStyles.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5</xdr:col>
      <xdr:colOff>133350</xdr:colOff>
      <xdr:row>0</xdr:row>
      <xdr:rowOff>142875</xdr:rowOff>
    </xdr:from>
    <xdr:to>
      <xdr:col>16</xdr:col>
      <xdr:colOff>296234</xdr:colOff>
      <xdr:row>5</xdr:row>
      <xdr:rowOff>66797</xdr:rowOff>
    </xdr:to>
    <xdr:pic>
      <xdr:nvPicPr>
        <xdr:cNvPr id="2" name="Picture 1">
          <a:extLst>
            <a:ext uri="{FF2B5EF4-FFF2-40B4-BE49-F238E27FC236}">
              <a16:creationId xmlns:a16="http://schemas.microsoft.com/office/drawing/2014/main" id="{155F2375-2984-C37C-835B-6F4E16B95420}"/>
            </a:ext>
          </a:extLst>
        </xdr:cNvPr>
        <xdr:cNvPicPr>
          <a:picLocks noChangeAspect="1"/>
        </xdr:cNvPicPr>
      </xdr:nvPicPr>
      <xdr:blipFill>
        <a:blip xmlns:r="http://schemas.openxmlformats.org/officeDocument/2006/relationships" r:embed="rId1"/>
        <a:stretch>
          <a:fillRect/>
        </a:stretch>
      </xdr:blipFill>
      <xdr:spPr>
        <a:xfrm>
          <a:off x="3181350" y="142875"/>
          <a:ext cx="6868484" cy="876422"/>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https://www.bing.com/financeapi/forcetrigger?t=a1oyr7&amp;q=XNYS%3aBTU&amp;form=skydnc</v>
    <v>Learn more on Bing</v>
  </rv>
  <rv s="1">
    <v>en-US</v>
    <v>a1oyr7</v>
    <v>268435456</v>
    <v>1</v>
    <v>Powered by Refinitiv</v>
    <v>0</v>
    <v>PEABODY ENERGY CORPORATION (XNYS:BTU)</v>
    <v>2</v>
    <v>3</v>
    <v>Finance</v>
    <v>4</v>
    <v>33.29</v>
    <v>8.58</v>
    <v>1.0546</v>
    <v>0.55500000000000005</v>
    <v>2.4634E-2</v>
    <v>USD</v>
    <v>Peabody Energy Corporation is a producer of metallurgical and thermal coal. The Company’s segments include Seaborne Thermal Mining, Seaborne Metallurgical Mining, Powder River Basin Mining and Other United States (U.S.) Thermal Mining. The Company’s Seaborne Thermal Mining segment consists of mines in New South Wales, Australia. Its Seaborne Metallurgical Mining segment consists of mines in Queensland, Australia, one in New South Wales, Australia and one in Alabama, the United States. The Company’s Powder River Basin Mining segment consists of its mines in Wyoming. Its Other U.S. Thermal Mining segment includes operations that reflect the aggregation of its Illinois, Indiana, New Mexico and Colorado mining operations. The Company owns interests in over 17 coal mining operations located in the United States and Australia. It markets and brokers coal from other coal producers, both as principal and agent, and trades coal and freight-related contracts.</v>
    <v>4900</v>
    <v>New York Stock Exchange</v>
    <v>XNYS</v>
    <v>XNYS</v>
    <v>701 MARKET ST, ST. LOUIS, MO, 63101-1826 US</v>
    <v>23.72</v>
    <v>Coal</v>
    <v>Stock</v>
    <v>44818.647580566409</v>
    <v>0</v>
    <v>22.57</v>
    <v>3321931500</v>
    <v>PEABODY ENERGY CORPORATION</v>
    <v>PEABODY ENERGY CORPORATION</v>
    <v>22.66</v>
    <v>4.9736000000000002</v>
    <v>22.53</v>
    <v>23.085000000000001</v>
    <v>143900000</v>
    <v>BTU</v>
    <v>PEABODY ENERGY CORPORATION (XNYS:BTU)</v>
    <v>1858539</v>
    <v>5595437</v>
    <v>1998</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27" formatCode="m/d/yyyy\ h:mm"/>
    </x:dxf>
    <x:dxf>
      <x:numFmt numFmtId="14" formatCode="0.00%"/>
    </x:dxf>
    <x:dxf>
      <x:numFmt numFmtId="3" formatCode="#,##0"/>
    </x:dxf>
    <x:dxf>
      <x:numFmt numFmtId="4" formatCode="#,##0.00"/>
    </x:dxf>
    <x:dxf>
      <x:numFmt numFmtId="1" formatCode="0"/>
    </x:dxf>
    <x:dxf>
      <x:numFmt numFmtId="0" formatCode="General"/>
    </x:dxf>
  </dxfs>
  <richProperties>
    <rPr n="NumberFormat" t="s"/>
    <rPr n="IsTitleField" t="b"/>
  </richProperties>
  <richStyles>
    <rSty dxfid="6">
      <rpv i="0">_([$$-en-US]* #,##0.00_);_([$$-en-US]* (#,##0.00);_([$$-en-US]* "-"??_);_(@_)</rpv>
    </rSty>
    <rSty dxfid="4">
      <rpv i="0">#,##0.00</rpv>
    </rSty>
    <rSty>
      <rpv i="1">1</rpv>
    </rSty>
    <rSty dxfid="3">
      <rpv i="0">#,##0</rpv>
    </rSty>
    <rSty dxfid="2"/>
    <rSty dxfid="6">
      <rpv i="0">_([$$-en-US]* #,##0_);_([$$-en-US]* (#,##0);_([$$-en-US]* "-"_);_(@_)</rpv>
    </rSty>
    <rSty dxfid="1"/>
    <rSty dxfid="5">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 dockstate="right" visibility="0" width="350" row="1">
    <wetp:webextensionref xmlns:r="http://schemas.openxmlformats.org/officeDocument/2006/relationships" r:id="rId2"/>
  </wetp:taskpane>
  <wetp:taskpane dockstate="right" visibility="0" width="350" row="2">
    <wetp:webextensionref xmlns:r="http://schemas.openxmlformats.org/officeDocument/2006/relationships" r:id="rId3"/>
  </wetp:taskpane>
  <wetp:taskpane dockstate="right" visibility="0" width="350" row="2">
    <wetp:webextensionref xmlns:r="http://schemas.openxmlformats.org/officeDocument/2006/relationships" r:id="rId4"/>
  </wetp:taskpane>
</wetp:taskpanes>
</file>

<file path=xl/webextensions/webextension1.xml><?xml version="1.0" encoding="utf-8"?>
<we:webextension xmlns:we="http://schemas.microsoft.com/office/webextensions/webextension/2010/11" id="{30BF8FA0-D662-4478-919E-782EE11430FE}">
  <we:reference id="wa200000565" version="1.0.0.26" store="en-US" storeType="OMEX"/>
  <we:alternateReferences>
    <we:reference id="wa200000565" version="1.0.0.26" store="WA200000565"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RDP.Data</we:customFunctionIds>
        <we:customFunctionIds>RDP.Price</we:customFunctionIds>
        <we:customFunctionIds>RDP.HistoricalPricing</we:customFunctionIds>
        <we:customFunctionIds>RDP.Analytics</we:customFunctionIds>
      </we:customFunctionIdList>
    </a:ext>
  </we:extLst>
</we:webextension>
</file>

<file path=xl/webextensions/webextension2.xml><?xml version="1.0" encoding="utf-8"?>
<we:webextension xmlns:we="http://schemas.microsoft.com/office/webextensions/webextension/2010/11" id="{FD6DBF27-AB11-4C1B-844D-6BFE40E52226}">
  <we:reference id="wa104381893" version="1.0.0.0" store="en-US" storeType="OMEX"/>
  <we:alternateReferences>
    <we:reference id="wa104381893" version="1.0.0.0" store="WA104381893" storeType="OMEX"/>
  </we:alternateReferences>
  <we:properties>
    <we:property name="tutorialPlayed" value="true"/>
  </we:properties>
  <we:bindings/>
  <we:snapshot xmlns:r="http://schemas.openxmlformats.org/officeDocument/2006/relationships"/>
</we:webextension>
</file>

<file path=xl/webextensions/webextension3.xml><?xml version="1.0" encoding="utf-8"?>
<we:webextension xmlns:we="http://schemas.microsoft.com/office/webextensions/webextension/2010/11" id="{A6BF010A-2B97-4187-A8E2-1D5EA0474643}">
  <we:reference id="wa200002252" version="1.0.0.2" store="en-US" storeType="OMEX"/>
  <we:alternateReferences>
    <we:reference id="wa200002252" version="1.0.0.2" store="WA200002252"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_xldudf_WISE</we:customFunctionIds>
        <we:customFunctionIds>_xldudf_WISEPRICE</we:customFunctionIds>
      </we:customFunctionIdList>
    </a:ext>
  </we:extLst>
</we:webextension>
</file>

<file path=xl/webextensions/webextension4.xml><?xml version="1.0" encoding="utf-8"?>
<we:webextension xmlns:we="http://schemas.microsoft.com/office/webextensions/webextension/2010/11" id="{6F713805-CD50-4708-9E91-21C144A2E002}">
  <we:reference id="wa104380101" version="1.0.0.0" store="en-US" storeType="OMEX"/>
  <we:alternateReferences>
    <we:reference id="WA104380101" version="1.0.0.0" store="WA104380101"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5940A-26A6-4085-B5DF-1434A8D7D131}">
  <dimension ref="A1:Q34"/>
  <sheetViews>
    <sheetView workbookViewId="0">
      <selection activeCell="C4" sqref="C4"/>
    </sheetView>
  </sheetViews>
  <sheetFormatPr defaultRowHeight="15" x14ac:dyDescent="0.25"/>
  <cols>
    <col min="1" max="1" width="26.5703125" bestFit="1" customWidth="1"/>
    <col min="2" max="2" width="44" bestFit="1" customWidth="1"/>
    <col min="3" max="3" width="28.5703125" customWidth="1"/>
    <col min="4" max="4" width="8" customWidth="1"/>
    <col min="5" max="5" width="9" customWidth="1"/>
    <col min="6" max="6" width="14.28515625" customWidth="1"/>
    <col min="7" max="8" width="12" bestFit="1" customWidth="1"/>
    <col min="11" max="11" width="12" bestFit="1" customWidth="1"/>
    <col min="17" max="17" width="13.7109375" customWidth="1"/>
  </cols>
  <sheetData>
    <row r="1" spans="1:17" ht="18.75" x14ac:dyDescent="0.3">
      <c r="A1" s="44"/>
      <c r="B1" s="43" t="s">
        <v>52</v>
      </c>
      <c r="F1" s="20" t="s">
        <v>8</v>
      </c>
    </row>
    <row r="2" spans="1:17" x14ac:dyDescent="0.25">
      <c r="A2" s="2" t="s">
        <v>1</v>
      </c>
      <c r="B2" s="38" t="e" vm="1">
        <v>#VALUE!</v>
      </c>
      <c r="G2">
        <v>-4</v>
      </c>
      <c r="H2">
        <v>-3</v>
      </c>
      <c r="I2">
        <v>-2</v>
      </c>
      <c r="J2">
        <v>-1</v>
      </c>
      <c r="K2">
        <v>0</v>
      </c>
      <c r="L2">
        <v>1</v>
      </c>
      <c r="M2">
        <v>2</v>
      </c>
      <c r="N2">
        <v>3</v>
      </c>
      <c r="O2">
        <v>4</v>
      </c>
      <c r="P2">
        <v>5</v>
      </c>
      <c r="Q2">
        <v>6</v>
      </c>
    </row>
    <row r="3" spans="1:17" x14ac:dyDescent="0.25">
      <c r="A3" s="2" t="s">
        <v>2</v>
      </c>
      <c r="B3" s="38">
        <v>716.6</v>
      </c>
      <c r="G3" s="29">
        <f t="shared" ref="G3:P3" si="0">seed_year+G2</f>
        <v>2017</v>
      </c>
      <c r="H3" s="29">
        <f t="shared" si="0"/>
        <v>2018</v>
      </c>
      <c r="I3" s="29">
        <f t="shared" si="0"/>
        <v>2019</v>
      </c>
      <c r="J3" s="29">
        <f t="shared" si="0"/>
        <v>2020</v>
      </c>
      <c r="K3" s="29">
        <f t="shared" si="0"/>
        <v>2021</v>
      </c>
      <c r="L3" s="29">
        <f t="shared" si="0"/>
        <v>2022</v>
      </c>
      <c r="M3" s="29">
        <f t="shared" si="0"/>
        <v>2023</v>
      </c>
      <c r="N3" s="29">
        <f t="shared" si="0"/>
        <v>2024</v>
      </c>
      <c r="O3" s="29">
        <f t="shared" si="0"/>
        <v>2025</v>
      </c>
      <c r="P3" s="29">
        <f t="shared" si="0"/>
        <v>2026</v>
      </c>
      <c r="Q3" s="5" t="s">
        <v>12</v>
      </c>
    </row>
    <row r="4" spans="1:17" x14ac:dyDescent="0.25">
      <c r="A4" s="2" t="s">
        <v>0</v>
      </c>
      <c r="B4" s="39">
        <v>0.1168</v>
      </c>
      <c r="C4" t="str" cm="1">
        <f t="array" ref="C4">"https://www.gurufocus.com/term/wacc/NYSE:"&amp;_FV(company,"Ticker symbol",TRUE)&amp;"/WACC-/"</f>
        <v>https://www.gurufocus.com/term/wacc/NYSE:BTU/WACC-/</v>
      </c>
      <c r="F4" t="s">
        <v>41</v>
      </c>
      <c r="G4">
        <f>G6</f>
        <v>0</v>
      </c>
      <c r="H4">
        <f t="shared" ref="H4:J4" si="1">H6</f>
        <v>0</v>
      </c>
      <c r="I4">
        <f t="shared" si="1"/>
        <v>0</v>
      </c>
      <c r="J4">
        <f t="shared" si="1"/>
        <v>0</v>
      </c>
      <c r="K4">
        <f>IF(ISBLANK(K6),FCF,K6)</f>
        <v>716.6</v>
      </c>
      <c r="L4" s="7">
        <f>IF(ISBLANK(L6),K4*(1+L5),L6)</f>
        <v>500</v>
      </c>
      <c r="M4" s="7">
        <f t="shared" ref="M4:P4" si="2">IF(ISBLANK(M6),L4*(1+M5),M6)</f>
        <v>515</v>
      </c>
      <c r="N4" s="7">
        <f t="shared" si="2"/>
        <v>530.45000000000005</v>
      </c>
      <c r="O4" s="7">
        <f t="shared" si="2"/>
        <v>546.36350000000004</v>
      </c>
      <c r="P4" s="7">
        <f t="shared" si="2"/>
        <v>562.75440500000002</v>
      </c>
      <c r="Q4" s="7">
        <f>P4*terminal_mult</f>
        <v>4321.098</v>
      </c>
    </row>
    <row r="5" spans="1:17" x14ac:dyDescent="0.25">
      <c r="A5" s="2" t="s">
        <v>26</v>
      </c>
      <c r="B5" s="40">
        <v>2021</v>
      </c>
      <c r="C5" s="46"/>
      <c r="F5" t="s">
        <v>10</v>
      </c>
      <c r="H5" s="1" t="e">
        <f>H4/G4-1</f>
        <v>#DIV/0!</v>
      </c>
      <c r="I5" s="1" t="e">
        <f t="shared" ref="I5:K5" si="3">I4/H4-1</f>
        <v>#DIV/0!</v>
      </c>
      <c r="J5" s="1" t="e">
        <f t="shared" si="3"/>
        <v>#DIV/0!</v>
      </c>
      <c r="K5" s="1" t="e">
        <f t="shared" si="3"/>
        <v>#DIV/0!</v>
      </c>
      <c r="L5" s="1">
        <f>growth</f>
        <v>0.03</v>
      </c>
      <c r="M5" s="1">
        <f>growth</f>
        <v>0.03</v>
      </c>
      <c r="N5" s="1">
        <f>growth</f>
        <v>0.03</v>
      </c>
      <c r="O5" s="1">
        <f>growth</f>
        <v>0.03</v>
      </c>
      <c r="P5" s="1">
        <f>growth</f>
        <v>0.03</v>
      </c>
    </row>
    <row r="6" spans="1:17" ht="15.75" thickBot="1" x14ac:dyDescent="0.3">
      <c r="A6" s="2" t="s">
        <v>39</v>
      </c>
      <c r="B6" s="41">
        <v>0.03</v>
      </c>
      <c r="E6" s="5" t="s">
        <v>53</v>
      </c>
      <c r="F6" s="3" t="s">
        <v>9</v>
      </c>
      <c r="G6" s="21"/>
      <c r="H6" s="21"/>
      <c r="I6" s="21"/>
      <c r="J6" s="21"/>
      <c r="K6" s="21"/>
      <c r="L6" s="3">
        <v>500</v>
      </c>
      <c r="M6" s="3"/>
      <c r="N6" s="3"/>
      <c r="O6" s="3"/>
      <c r="P6" s="3"/>
    </row>
    <row r="7" spans="1:17" x14ac:dyDescent="0.25">
      <c r="A7" s="2" t="s">
        <v>38</v>
      </c>
      <c r="B7" s="41">
        <v>1.4999999999999999E-2</v>
      </c>
      <c r="G7" s="22" t="s">
        <v>43</v>
      </c>
      <c r="H7" s="22" t="s">
        <v>43</v>
      </c>
      <c r="I7" s="22" t="s">
        <v>42</v>
      </c>
      <c r="J7" s="22" t="s">
        <v>44</v>
      </c>
      <c r="K7" s="23" t="s">
        <v>45</v>
      </c>
    </row>
    <row r="8" spans="1:17" x14ac:dyDescent="0.25">
      <c r="A8" s="2" t="s">
        <v>22</v>
      </c>
      <c r="B8" s="38">
        <v>6.03</v>
      </c>
    </row>
    <row r="9" spans="1:17" x14ac:dyDescent="0.25">
      <c r="A9" s="2" t="s">
        <v>13</v>
      </c>
      <c r="B9" s="42" t="s">
        <v>19</v>
      </c>
      <c r="J9" s="15" t="s">
        <v>31</v>
      </c>
      <c r="K9" s="16">
        <f>SUM(L9:Q9)</f>
        <v>4143.6911927389283</v>
      </c>
      <c r="L9" s="7">
        <f t="shared" ref="L9:Q9" si="4">L4/(1+WACC)^L2</f>
        <v>447.70773638968478</v>
      </c>
      <c r="M9" s="7">
        <f t="shared" si="4"/>
        <v>412.91096747974154</v>
      </c>
      <c r="N9" s="7">
        <f t="shared" si="4"/>
        <v>380.81867523650948</v>
      </c>
      <c r="O9" s="7">
        <f t="shared" si="4"/>
        <v>351.22066215401571</v>
      </c>
      <c r="P9" s="7">
        <f t="shared" si="4"/>
        <v>323.92306771009686</v>
      </c>
      <c r="Q9" s="7">
        <f t="shared" si="4"/>
        <v>2227.1100837688796</v>
      </c>
    </row>
    <row r="10" spans="1:17" x14ac:dyDescent="0.25">
      <c r="A10" s="4" t="s">
        <v>29</v>
      </c>
      <c r="B10" s="12">
        <f>VLOOKUP(term_method,term_methods,4)</f>
        <v>4321.098</v>
      </c>
      <c r="J10" s="15" t="s">
        <v>32</v>
      </c>
      <c r="K10" s="16">
        <f>shares/1000000</f>
        <v>143.9</v>
      </c>
    </row>
    <row r="11" spans="1:17" x14ac:dyDescent="0.25">
      <c r="A11" s="4" t="s">
        <v>11</v>
      </c>
      <c r="B11" s="13">
        <f>tv/$P$4</f>
        <v>7.6784792115487743</v>
      </c>
      <c r="J11" s="15" t="s">
        <v>33</v>
      </c>
      <c r="K11" s="17">
        <f>pvffcf/K10</f>
        <v>28.795630248359473</v>
      </c>
    </row>
    <row r="12" spans="1:17" x14ac:dyDescent="0.25">
      <c r="A12" s="4" t="s">
        <v>25</v>
      </c>
      <c r="B12" s="14" t="str">
        <f>VLOOKUP(term_method,term_methods,3)</f>
        <v>EV/EBITDA</v>
      </c>
      <c r="J12" s="15" t="s">
        <v>35</v>
      </c>
      <c r="K12" s="17" cm="1">
        <f t="array" ref="K12">_FV(company,"Price",TRUE)</f>
        <v>23.085000000000001</v>
      </c>
    </row>
    <row r="13" spans="1:17" x14ac:dyDescent="0.25">
      <c r="A13" s="2" t="s">
        <v>20</v>
      </c>
      <c r="B13" s="6"/>
      <c r="C13" t="s">
        <v>34</v>
      </c>
      <c r="J13" s="15" t="s">
        <v>36</v>
      </c>
      <c r="K13" s="18">
        <f>val_price-K12</f>
        <v>5.7106302483594718</v>
      </c>
    </row>
    <row r="14" spans="1:17" x14ac:dyDescent="0.25">
      <c r="A14" s="4" t="s">
        <v>30</v>
      </c>
      <c r="B14" s="13">
        <f>B13*FCF</f>
        <v>0</v>
      </c>
      <c r="J14" s="15" t="s">
        <v>40</v>
      </c>
      <c r="K14" s="19">
        <f>K13/K12</f>
        <v>0.24737406317346639</v>
      </c>
    </row>
    <row r="15" spans="1:17" x14ac:dyDescent="0.25">
      <c r="A15" s="4" t="s">
        <v>28</v>
      </c>
      <c r="B15" s="12">
        <f>$P$4*(1+growth)^6</f>
        <v>671.95818967206094</v>
      </c>
    </row>
    <row r="16" spans="1:17" ht="15.75" x14ac:dyDescent="0.25">
      <c r="A16" s="31"/>
      <c r="B16" s="32" t="s">
        <v>47</v>
      </c>
    </row>
    <row r="17" spans="1:5" ht="15.75" x14ac:dyDescent="0.25">
      <c r="A17" s="33" t="s">
        <v>31</v>
      </c>
      <c r="B17" s="34">
        <f>pvffcf</f>
        <v>4143.6911927389283</v>
      </c>
    </row>
    <row r="18" spans="1:5" ht="15.75" x14ac:dyDescent="0.25">
      <c r="A18" s="33" t="s">
        <v>46</v>
      </c>
      <c r="B18" s="34">
        <f>K10</f>
        <v>143.9</v>
      </c>
    </row>
    <row r="19" spans="1:5" ht="15.75" x14ac:dyDescent="0.25">
      <c r="A19" s="33" t="s">
        <v>48</v>
      </c>
      <c r="B19" s="35">
        <f>val_price</f>
        <v>28.795630248359473</v>
      </c>
    </row>
    <row r="20" spans="1:5" ht="15.75" x14ac:dyDescent="0.25">
      <c r="A20" s="33" t="s">
        <v>49</v>
      </c>
      <c r="B20" s="45" cm="1">
        <f t="array" ref="B20">_FV(B2,"Price")</f>
        <v>23.085000000000001</v>
      </c>
    </row>
    <row r="21" spans="1:5" ht="15.75" x14ac:dyDescent="0.25">
      <c r="A21" s="33" t="s">
        <v>50</v>
      </c>
      <c r="B21" s="36">
        <f>$K$13</f>
        <v>5.7106302483594718</v>
      </c>
    </row>
    <row r="22" spans="1:5" ht="15.75" x14ac:dyDescent="0.25">
      <c r="A22" s="33" t="s">
        <v>51</v>
      </c>
      <c r="B22" s="37">
        <f>B21/B20</f>
        <v>0.24737406317346639</v>
      </c>
    </row>
    <row r="23" spans="1:5" ht="9.75" customHeight="1" x14ac:dyDescent="0.25">
      <c r="A23" s="5"/>
      <c r="B23" s="30"/>
    </row>
    <row r="24" spans="1:5" x14ac:dyDescent="0.25">
      <c r="A24" s="24" t="s">
        <v>7</v>
      </c>
      <c r="B24" s="25">
        <f>B26</f>
        <v>143900000</v>
      </c>
    </row>
    <row r="25" spans="1:5" x14ac:dyDescent="0.25">
      <c r="A25" s="24" t="s">
        <v>3</v>
      </c>
      <c r="B25" s="24" t="str" cm="1">
        <f t="array" ref="B25">_FV(B2,"Ticker symbol",TRUE)</f>
        <v>BTU</v>
      </c>
    </row>
    <row r="26" spans="1:5" x14ac:dyDescent="0.25">
      <c r="A26" s="24" t="s">
        <v>6</v>
      </c>
      <c r="B26" s="26" cm="1">
        <f t="array" ref="B26">_FV(B2,"Shares outstanding",TRUE)</f>
        <v>143900000</v>
      </c>
    </row>
    <row r="27" spans="1:5" x14ac:dyDescent="0.25">
      <c r="A27" s="24" t="s">
        <v>5</v>
      </c>
      <c r="B27" s="27" cm="1">
        <f t="array" ref="B27">_FV(B2,"P/E",TRUE)</f>
        <v>4.9736000000000002</v>
      </c>
    </row>
    <row r="28" spans="1:5" x14ac:dyDescent="0.25">
      <c r="A28" s="24" t="s">
        <v>4</v>
      </c>
      <c r="B28" s="28" cm="1">
        <f t="array" ref="B28">_FV(B2,"Market cap",TRUE)</f>
        <v>3321931500</v>
      </c>
    </row>
    <row r="30" spans="1:5" x14ac:dyDescent="0.25">
      <c r="A30" s="9" t="s">
        <v>18</v>
      </c>
    </row>
    <row r="31" spans="1:5" x14ac:dyDescent="0.25">
      <c r="A31" s="8" t="s">
        <v>16</v>
      </c>
      <c r="B31" s="8" t="s">
        <v>17</v>
      </c>
      <c r="C31" s="8" t="s">
        <v>24</v>
      </c>
      <c r="D31" s="8" t="s">
        <v>27</v>
      </c>
      <c r="E31" s="8" t="s">
        <v>16</v>
      </c>
    </row>
    <row r="32" spans="1:5" ht="18" x14ac:dyDescent="0.35">
      <c r="A32" s="8" t="s">
        <v>14</v>
      </c>
      <c r="B32" s="8">
        <v>1</v>
      </c>
      <c r="C32" s="10" t="s">
        <v>21</v>
      </c>
      <c r="D32" s="11">
        <f>FCFF6/(WACC-per_growth)</f>
        <v>6600.7680714347835</v>
      </c>
      <c r="E32" s="10" t="s">
        <v>37</v>
      </c>
    </row>
    <row r="33" spans="1:5" x14ac:dyDescent="0.25">
      <c r="A33" s="8" t="s">
        <v>19</v>
      </c>
      <c r="B33" s="8">
        <v>2</v>
      </c>
      <c r="C33" s="8" t="s">
        <v>22</v>
      </c>
      <c r="D33" s="11">
        <f>EV_EBITDA*FCF</f>
        <v>4321.098</v>
      </c>
      <c r="E33" s="10" t="s">
        <v>55</v>
      </c>
    </row>
    <row r="34" spans="1:5" ht="18" x14ac:dyDescent="0.35">
      <c r="A34" s="8" t="s">
        <v>15</v>
      </c>
      <c r="B34" s="8">
        <v>3</v>
      </c>
      <c r="C34" s="8" t="s">
        <v>23</v>
      </c>
      <c r="D34" s="11">
        <f>FCFF6/(WACC)</f>
        <v>5753.0666923977824</v>
      </c>
      <c r="E34" s="10" t="s">
        <v>54</v>
      </c>
    </row>
  </sheetData>
  <conditionalFormatting sqref="K14">
    <cfRule type="colorScale" priority="5">
      <colorScale>
        <cfvo type="num" val="-0.3"/>
        <cfvo type="num" val="0"/>
        <cfvo type="num" val="0.3"/>
        <color rgb="FFF8696B"/>
        <color rgb="FFFCFCFF"/>
        <color rgb="FF63BE7B"/>
      </colorScale>
    </cfRule>
  </conditionalFormatting>
  <conditionalFormatting sqref="K13">
    <cfRule type="iconSet" priority="3">
      <iconSet iconSet="3Symbols">
        <cfvo type="percent" val="0"/>
        <cfvo type="percent" val="33"/>
        <cfvo type="percent" val="67"/>
      </iconSet>
    </cfRule>
  </conditionalFormatting>
  <conditionalFormatting sqref="B21">
    <cfRule type="iconSet" priority="2">
      <iconSet iconSet="4Arrows">
        <cfvo type="percent" val="0"/>
        <cfvo type="num" val="-3"/>
        <cfvo type="num" val="0"/>
        <cfvo type="num" val="3"/>
      </iconSet>
    </cfRule>
  </conditionalFormatting>
  <conditionalFormatting sqref="B22:B23">
    <cfRule type="colorScale" priority="1">
      <colorScale>
        <cfvo type="num" val="-0.3"/>
        <cfvo type="num" val="0"/>
        <cfvo type="num" val="0.3"/>
        <color rgb="FFF8696B"/>
        <color rgb="FFFCFCFF"/>
        <color rgb="FF63BE7B"/>
      </colorScale>
    </cfRule>
  </conditionalFormatting>
  <dataValidations count="1">
    <dataValidation type="list" allowBlank="1" showInputMessage="1" showErrorMessage="1" sqref="B9" xr:uid="{B9E1875A-72BB-422D-88DA-C83D69F1AB59}">
      <formula1>$A$32:$A$34</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8E524-B05B-4D86-8C21-A02805E7FCBC}">
  <dimension ref="A2:C15"/>
  <sheetViews>
    <sheetView tabSelected="1" workbookViewId="0">
      <selection activeCell="G10" sqref="G10"/>
    </sheetView>
  </sheetViews>
  <sheetFormatPr defaultRowHeight="15" x14ac:dyDescent="0.25"/>
  <cols>
    <col min="1" max="1" width="13.7109375" customWidth="1"/>
  </cols>
  <sheetData>
    <row r="2" spans="1:3" x14ac:dyDescent="0.25">
      <c r="A2" s="50" t="s">
        <v>56</v>
      </c>
      <c r="B2" s="50">
        <v>44.5</v>
      </c>
    </row>
    <row r="3" spans="1:3" x14ac:dyDescent="0.25">
      <c r="A3" s="50" t="s">
        <v>57</v>
      </c>
      <c r="B3" s="50">
        <v>29.7</v>
      </c>
    </row>
    <row r="4" spans="1:3" x14ac:dyDescent="0.25">
      <c r="A4" s="50" t="s">
        <v>60</v>
      </c>
      <c r="B4" s="51">
        <v>0.32</v>
      </c>
    </row>
    <row r="5" spans="1:3" x14ac:dyDescent="0.25">
      <c r="A5" s="50" t="s">
        <v>61</v>
      </c>
      <c r="B5" s="50">
        <v>1.37</v>
      </c>
    </row>
    <row r="6" spans="1:3" x14ac:dyDescent="0.25">
      <c r="A6" s="50" t="s">
        <v>62</v>
      </c>
      <c r="B6" s="52">
        <v>3.3700000000000001E-2</v>
      </c>
      <c r="C6" t="s">
        <v>63</v>
      </c>
    </row>
    <row r="7" spans="1:3" x14ac:dyDescent="0.25">
      <c r="A7" s="50" t="s">
        <v>64</v>
      </c>
      <c r="B7" s="50">
        <v>1.65</v>
      </c>
    </row>
    <row r="8" spans="1:3" x14ac:dyDescent="0.25">
      <c r="A8" s="50" t="s">
        <v>65</v>
      </c>
      <c r="B8" s="51">
        <v>7.0000000000000007E-2</v>
      </c>
    </row>
    <row r="10" spans="1:3" x14ac:dyDescent="0.25">
      <c r="A10" t="s">
        <v>58</v>
      </c>
      <c r="B10" s="48">
        <f>rfrate+beta*(mktret-rfrate)</f>
        <v>9.3595000000000012E-2</v>
      </c>
      <c r="C10" t="s">
        <v>68</v>
      </c>
    </row>
    <row r="11" spans="1:3" x14ac:dyDescent="0.25">
      <c r="A11" t="s">
        <v>59</v>
      </c>
      <c r="B11" s="47">
        <f>intexp/debt</f>
        <v>4.6127946127946136E-2</v>
      </c>
      <c r="C11" t="s">
        <v>69</v>
      </c>
    </row>
    <row r="13" spans="1:3" x14ac:dyDescent="0.25">
      <c r="A13" t="s">
        <v>66</v>
      </c>
      <c r="B13">
        <f>equity/(equity+debt)</f>
        <v>0.59973045822102422</v>
      </c>
      <c r="C13" t="s">
        <v>70</v>
      </c>
    </row>
    <row r="14" spans="1:3" x14ac:dyDescent="0.25">
      <c r="A14" t="s">
        <v>67</v>
      </c>
      <c r="B14">
        <f>debt/(equity+debt)</f>
        <v>0.40026954177897572</v>
      </c>
      <c r="C14" t="s">
        <v>71</v>
      </c>
    </row>
    <row r="15" spans="1:3" x14ac:dyDescent="0.25">
      <c r="A15" s="29" t="s">
        <v>0</v>
      </c>
      <c r="B15" s="49">
        <f>+B13*costeq+B14*costdebt*(1-corptax)</f>
        <v>6.8687028301886791E-2</v>
      </c>
    </row>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 
</file>

<file path=customXml/item2.xml>�� 
</file>

<file path=customXml/item3.xml>�� 
</file>

<file path=customXml/itemProps1.xml><?xml version="1.0" encoding="utf-8"?>
<ds:datastoreItem xmlns:ds="http://schemas.openxmlformats.org/officeDocument/2006/customXml" ds:itemID="{BBF6DCB5-5109-41B4-ABC2-8446E2F51E8B}">
  <ds:schemaRefs/>
</ds:datastoreItem>
</file>

<file path=customXml/itemProps2.xml><?xml version="1.0" encoding="utf-8"?>
<ds:datastoreItem xmlns:ds="http://schemas.openxmlformats.org/officeDocument/2006/customXml" ds:itemID="{1CD5807D-7EFF-4B91-ADC0-1364A269C35B}">
  <ds:schemaRefs/>
</ds:datastoreItem>
</file>

<file path=customXml/itemProps3.xml><?xml version="1.0" encoding="utf-8"?>
<ds:datastoreItem xmlns:ds="http://schemas.openxmlformats.org/officeDocument/2006/customXml" ds:itemID="{59CAB82F-391F-4B8F-830B-1B65661D2F9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26</vt:i4>
      </vt:variant>
    </vt:vector>
  </HeadingPairs>
  <TitlesOfParts>
    <vt:vector size="28" baseType="lpstr">
      <vt:lpstr>Model</vt:lpstr>
      <vt:lpstr>WACC</vt:lpstr>
      <vt:lpstr>beta</vt:lpstr>
      <vt:lpstr>company</vt:lpstr>
      <vt:lpstr>corptax</vt:lpstr>
      <vt:lpstr>costdebt</vt:lpstr>
      <vt:lpstr>costeq</vt:lpstr>
      <vt:lpstr>debt</vt:lpstr>
      <vt:lpstr>equity</vt:lpstr>
      <vt:lpstr>EV_EBITDA</vt:lpstr>
      <vt:lpstr>FCF</vt:lpstr>
      <vt:lpstr>FCFF6</vt:lpstr>
      <vt:lpstr>growth</vt:lpstr>
      <vt:lpstr>intexp</vt:lpstr>
      <vt:lpstr>mktret</vt:lpstr>
      <vt:lpstr>per_growth</vt:lpstr>
      <vt:lpstr>pvffcf</vt:lpstr>
      <vt:lpstr>rfrate</vt:lpstr>
      <vt:lpstr>seed_year</vt:lpstr>
      <vt:lpstr>shares</vt:lpstr>
      <vt:lpstr>term_method</vt:lpstr>
      <vt:lpstr>term_methods</vt:lpstr>
      <vt:lpstr>terminal_mult</vt:lpstr>
      <vt:lpstr>tv</vt:lpstr>
      <vt:lpstr>tv_or</vt:lpstr>
      <vt:lpstr>val_price</vt:lpstr>
      <vt:lpstr>WACC</vt:lpstr>
      <vt:lpstr>wacclink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dc:creator>
  <cp:lastModifiedBy>Robert Maxwell</cp:lastModifiedBy>
  <dcterms:created xsi:type="dcterms:W3CDTF">2022-03-25T12:47:47Z</dcterms:created>
  <dcterms:modified xsi:type="dcterms:W3CDTF">2022-09-14T15:37:14Z</dcterms:modified>
</cp:coreProperties>
</file>